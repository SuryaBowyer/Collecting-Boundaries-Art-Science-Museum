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mc:AlternateContent xmlns:mc="http://schemas.openxmlformats.org/markup-compatibility/2006">
    <mc:Choice Requires="x15">
      <x15ac:absPath xmlns:x15ac="http://schemas.microsoft.com/office/spreadsheetml/2010/11/ac" url="/Users/surya/Documents/1 PROJECTS/2021-2025 PhD/Data/2025/Z29 - GPI Accessions Register/_REDACTED FOR PUBLICATION (based on v1.2)/"/>
    </mc:Choice>
  </mc:AlternateContent>
  <xr:revisionPtr revIDLastSave="0" documentId="13_ncr:1_{E8F8633C-B8CE-534C-9998-54A28E25BABE}" xr6:coauthVersionLast="47" xr6:coauthVersionMax="47" xr10:uidLastSave="{00000000-0000-0000-0000-000000000000}"/>
  <bookViews>
    <workbookView xWindow="0" yWindow="860" windowWidth="32620" windowHeight="17220" xr2:uid="{00000000-000D-0000-FFFF-FFFF00000000}"/>
  </bookViews>
  <sheets>
    <sheet name="About" sheetId="6" r:id="rId1"/>
    <sheet name="Data" sheetId="9" r:id="rId2"/>
    <sheet name="Portraits count" sheetId="16" r:id="rId3"/>
    <sheet name="Medium counts" sheetId="12" r:id="rId4"/>
    <sheet name="Oils count" sheetId="13" r:id="rId5"/>
    <sheet name="Repros count exc oils &amp; prints" sheetId="15" r:id="rId6"/>
    <sheet name="Ad vivum prints count" sheetId="20" r:id="rId7"/>
    <sheet name="Repros count" sheetId="14" r:id="rId8"/>
    <sheet name="Repros vs Originals count" sheetId="18" r:id="rId9"/>
  </sheets>
  <calcPr calcId="191029"/>
  <pivotCaches>
    <pivotCache cacheId="0" r:id="rId10"/>
    <pivotCache cacheId="1" r:id="rId11"/>
    <pivotCache cacheId="2" r:id="rId12"/>
    <pivotCache cacheId="3"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4" l="1"/>
  <c r="C5" i="18"/>
  <c r="B3" i="13"/>
  <c r="B3" i="14"/>
  <c r="B4" i="13"/>
  <c r="B4" i="14"/>
  <c r="C3" i="18"/>
  <c r="C4" i="18"/>
  <c r="C6" i="18"/>
</calcChain>
</file>

<file path=xl/sharedStrings.xml><?xml version="1.0" encoding="utf-8"?>
<sst xmlns="http://schemas.openxmlformats.org/spreadsheetml/2006/main" count="665" uniqueCount="112">
  <si>
    <t>Medium</t>
  </si>
  <si>
    <t>Folio</t>
  </si>
  <si>
    <t>Notes</t>
  </si>
  <si>
    <t>black, profile</t>
  </si>
  <si>
    <t>medallion of vulcanized India-rubber</t>
  </si>
  <si>
    <t>bust</t>
  </si>
  <si>
    <t>2 medals</t>
  </si>
  <si>
    <t>Black No.</t>
  </si>
  <si>
    <t>Red No.</t>
  </si>
  <si>
    <t>Returned to Mr Sibley</t>
  </si>
  <si>
    <t>2 etchings</t>
  </si>
  <si>
    <t>drawing</t>
  </si>
  <si>
    <t>chalk</t>
  </si>
  <si>
    <t>sepia drawing</t>
  </si>
  <si>
    <t>enlarged photograph from a bronzed medallion portrait</t>
  </si>
  <si>
    <t>enlarged photograph from an engraved portrait</t>
  </si>
  <si>
    <t>oil painting</t>
  </si>
  <si>
    <t>enamel painting</t>
  </si>
  <si>
    <t>engraving</t>
  </si>
  <si>
    <t>etching</t>
  </si>
  <si>
    <t>lithograph</t>
  </si>
  <si>
    <t>photograph</t>
  </si>
  <si>
    <t>daguerreotype</t>
  </si>
  <si>
    <t>medal or medallion</t>
  </si>
  <si>
    <t>two copper coins</t>
  </si>
  <si>
    <t>coin</t>
  </si>
  <si>
    <t>profile</t>
  </si>
  <si>
    <t>wax medallion coated with by the electrotype process</t>
  </si>
  <si>
    <t>two medallion electrotype casts</t>
  </si>
  <si>
    <t xml:space="preserve">sepia drawing on a photograph from supposed portrait of Sir H. M. </t>
  </si>
  <si>
    <t>sepia drawing on a photograph from the original crayon drawing</t>
  </si>
  <si>
    <t>sepia drawing on a photograph from an original crayon drawing</t>
  </si>
  <si>
    <t>colored photograph from original painting</t>
  </si>
  <si>
    <t>uncolored photograph from original painting</t>
  </si>
  <si>
    <t>death mask</t>
  </si>
  <si>
    <t xml:space="preserve">plaster cast of face or mask, taken after death -- mounted on plinth </t>
  </si>
  <si>
    <t>watercolour</t>
  </si>
  <si>
    <t>colored photograph</t>
  </si>
  <si>
    <t>miniature, painted</t>
  </si>
  <si>
    <t>wax medallion</t>
  </si>
  <si>
    <t>three portraits painted on calico</t>
  </si>
  <si>
    <t>engraving from bust</t>
  </si>
  <si>
    <t>sepia drawing on a photograph</t>
  </si>
  <si>
    <t>sepia drawing by M. Seymour copied from a miniature</t>
  </si>
  <si>
    <t>sepia drawing by M. Seymour copied from a rare print</t>
  </si>
  <si>
    <t>sepia drawing by M. Seymour copied from a scarce print</t>
  </si>
  <si>
    <t>sepia drawing by M. Seymour sketched from an original painting</t>
  </si>
  <si>
    <t>sepia drawing by M. Seymour copied from a print</t>
  </si>
  <si>
    <t>sepia drawing by M. Seymour copied from a large print</t>
  </si>
  <si>
    <t>sepia drawing by M. Seymour sketched from a bust by Chantrey</t>
  </si>
  <si>
    <t>Row Labels</t>
  </si>
  <si>
    <t>Grand Total</t>
  </si>
  <si>
    <t>Count of Medium</t>
  </si>
  <si>
    <t>chromolithograph</t>
  </si>
  <si>
    <t>half length oil painting by W. Fletcher […] painted after W. Weild's death, + substituted for the previous portrait no 278 which was returned to his son, W. E. Weild</t>
  </si>
  <si>
    <t>Count</t>
  </si>
  <si>
    <t>Oil Copy?</t>
  </si>
  <si>
    <t>in group in Walkers engraving of "Men of Science" [in pencil in a different hand]</t>
  </si>
  <si>
    <t>yes</t>
  </si>
  <si>
    <t>Known Reproduction? Excluding oil copies and prints</t>
  </si>
  <si>
    <t>miniature</t>
  </si>
  <si>
    <t>woven</t>
  </si>
  <si>
    <t>[struckthrough] incorrect see 415</t>
  </si>
  <si>
    <t>(blank)</t>
  </si>
  <si>
    <t>Count of Oil Copy?</t>
  </si>
  <si>
    <t>indian ink</t>
  </si>
  <si>
    <t>crayon</t>
  </si>
  <si>
    <t>sepia drawing; photograph</t>
  </si>
  <si>
    <t>miniature; profile</t>
  </si>
  <si>
    <t>calico painting</t>
  </si>
  <si>
    <t>[struckthrough]</t>
  </si>
  <si>
    <t>Types of oil painting</t>
  </si>
  <si>
    <t>original</t>
  </si>
  <si>
    <t>copy</t>
  </si>
  <si>
    <t>sepia drawing, copied from a print &amp; touched up from the life</t>
  </si>
  <si>
    <t>Type of reproduction</t>
  </si>
  <si>
    <t>Count of Known Reproduction? Excluding oil copies and prints</t>
  </si>
  <si>
    <t>Oil copy</t>
  </si>
  <si>
    <t>Other known reproduction</t>
  </si>
  <si>
    <t>Portrait</t>
  </si>
  <si>
    <t>FALSE</t>
  </si>
  <si>
    <t>TRUE</t>
  </si>
  <si>
    <t>Count of Portrait</t>
  </si>
  <si>
    <t>Type</t>
  </si>
  <si>
    <t>Original or reproduction</t>
  </si>
  <si>
    <t>Reproduction</t>
  </si>
  <si>
    <t>Original</t>
  </si>
  <si>
    <t>Original (all types)</t>
  </si>
  <si>
    <t>miniature (black, profile)</t>
  </si>
  <si>
    <t>Ad vivum print</t>
  </si>
  <si>
    <t>photograph from a daguerreotype</t>
  </si>
  <si>
    <t>photograph from painting</t>
  </si>
  <si>
    <t>photograph from a talbotype</t>
  </si>
  <si>
    <t>bust, — cast from bust by Sir F. Chantrey</t>
  </si>
  <si>
    <t>Graphic Telescope</t>
  </si>
  <si>
    <t>black profile</t>
  </si>
  <si>
    <t>from a colored sketch</t>
  </si>
  <si>
    <t>[in pencil:] (3 copies)</t>
  </si>
  <si>
    <t xml:space="preserve">photograph from supposed portrait of Sir H. M. </t>
  </si>
  <si>
    <t>photograph from the original crayon drawing</t>
  </si>
  <si>
    <t>photograph from painting [entry number used twice]</t>
  </si>
  <si>
    <t>photograph from life January 1860 [entry number used twice]</t>
  </si>
  <si>
    <t>photograph from life January 1860</t>
  </si>
  <si>
    <t>photograph from black profile</t>
  </si>
  <si>
    <t>photograph from painting by Mr G. Kneller</t>
  </si>
  <si>
    <t>photograph from painting by Allingham</t>
  </si>
  <si>
    <t>photograph from full-length statue</t>
  </si>
  <si>
    <t>[watercolour and engraving of Beilefield share one number]</t>
  </si>
  <si>
    <t>photograph from oil painting</t>
  </si>
  <si>
    <t>lithograph drawn on stone from life</t>
  </si>
  <si>
    <t>Count of Ad vivum print</t>
  </si>
  <si>
    <t>Print (all types, excluding ad vivum)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</si>
</sst>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 fontId="0" fillId="0" borderId="0" xfId="0" applyNumberFormat="1"/>
    <xf numFmtId="49" fontId="0" fillId="0" borderId="0" xfId="0" applyNumberFormat="1"/>
  </cellXfs>
  <cellStyles count="1">
    <cellStyle name="Normal" xfId="0" builtinId="0"/>
  </cellStyles>
  <dxfs count="2">
    <dxf>
      <numFmt numFmtId="1" formatCode="0"/>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6</xdr:col>
      <xdr:colOff>592666</xdr:colOff>
      <xdr:row>57</xdr:row>
      <xdr:rowOff>38100</xdr:rowOff>
    </xdr:to>
    <xdr:sp macro="" textlink="">
      <xdr:nvSpPr>
        <xdr:cNvPr id="2" name="TextBox 1">
          <a:extLst>
            <a:ext uri="{FF2B5EF4-FFF2-40B4-BE49-F238E27FC236}">
              <a16:creationId xmlns:a16="http://schemas.microsoft.com/office/drawing/2014/main" id="{2A5A56F2-255E-B246-85B1-D8DF898E92C8}"/>
            </a:ext>
          </a:extLst>
        </xdr:cNvPr>
        <xdr:cNvSpPr txBox="1"/>
      </xdr:nvSpPr>
      <xdr:spPr>
        <a:xfrm>
          <a:off x="825500" y="190500"/>
          <a:ext cx="4720166" cy="1070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kern="1200"/>
            <a:t>This dataset relates to the Gallery of Portrait of Inventors in the Patent Museum, South Kensington. It was produced by Surya Bowyer as part of his PhD research, an AHRC-funded Collaborative Doctoral Partnership project hosted jointly by Science Museum Group and Birkbeck, University of London. Grant number AH/V004549/1. The dataset is made available under a CC BY 4.0 license: https://creativecommons.org/licenses/by/4.0/</a:t>
          </a:r>
        </a:p>
        <a:p>
          <a:endParaRPr lang="en-GB" sz="1100" kern="1200"/>
        </a:p>
        <a:p>
          <a:endParaRPr lang="en-GB" sz="1100" kern="1200"/>
        </a:p>
        <a:p>
          <a:r>
            <a:rPr lang="en-GB" sz="1100" b="1" kern="1200"/>
            <a:t>Sheet: Data </a:t>
          </a:r>
        </a:p>
        <a:p>
          <a:endParaRPr lang="en-GB" sz="1100" kern="1200"/>
        </a:p>
        <a:p>
          <a:pPr marL="0" marR="0" lvl="0" indent="0" defTabSz="914400" eaLnBrk="1" fontAlgn="auto" latinLnBrk="0" hangingPunct="1">
            <a:lnSpc>
              <a:spcPct val="100000"/>
            </a:lnSpc>
            <a:spcBef>
              <a:spcPts val="0"/>
            </a:spcBef>
            <a:spcAft>
              <a:spcPts val="0"/>
            </a:spcAft>
            <a:buClrTx/>
            <a:buSzTx/>
            <a:buFontTx/>
            <a:buNone/>
            <a:tabLst/>
            <a:defRPr/>
          </a:pPr>
          <a:r>
            <a:rPr lang="en-GB" sz="1100" kern="1200"/>
            <a:t>The Data sheet contains data which has been adapted </a:t>
          </a:r>
          <a:r>
            <a:rPr lang="en-GB" sz="1100">
              <a:solidFill>
                <a:schemeClr val="dk1"/>
              </a:solidFill>
              <a:effectLst/>
              <a:latin typeface="+mn-lt"/>
              <a:ea typeface="+mn-ea"/>
              <a:cs typeface="+mn-cs"/>
            </a:rPr>
            <a:t>from the manuscript accessions register of the National Gallery of Portraits of Inventors, Discoverers, and Introducers of Useful Arts. The accessions register is held by the Science Museum Group, File Z29. For many years this collection of portraits was exhibited in the Patent Museum, South Kensington (1858–1883). In 1883 the Patent Museum's</a:t>
          </a:r>
          <a:r>
            <a:rPr lang="en-GB" sz="1100" baseline="0">
              <a:solidFill>
                <a:schemeClr val="dk1"/>
              </a:solidFill>
              <a:effectLst/>
              <a:latin typeface="+mn-lt"/>
              <a:ea typeface="+mn-ea"/>
              <a:cs typeface="+mn-cs"/>
            </a:rPr>
            <a:t> collections were transferred to the South Kensington Museum, the antecedent to the Science Museum, London.</a:t>
          </a:r>
          <a:r>
            <a:rPr lang="en-GB" sz="1100">
              <a:solidFill>
                <a:schemeClr val="dk1"/>
              </a:solidFill>
              <a:effectLst/>
              <a:latin typeface="+mn-lt"/>
              <a:ea typeface="+mn-ea"/>
              <a:cs typeface="+mn-cs"/>
            </a:rPr>
            <a:t>   </a:t>
          </a:r>
        </a:p>
        <a:p>
          <a:endParaRPr lang="en-GB" sz="1100" kern="1200"/>
        </a:p>
        <a:p>
          <a:r>
            <a:rPr lang="en-GB" sz="1100" kern="1200"/>
            <a:t>The sheet does not reproduce all of the information in the register, nor does it reproduce all of the columns included in the register. Only selected types of information have been inputted as data. For instance, information from the register's "Presented, Bought, or Lent" column is not included, nor is information from its "Value of Portrait, &amp;cd." or "Value of Frame" columns. </a:t>
          </a:r>
        </a:p>
        <a:p>
          <a:endParaRPr lang="en-GB" sz="1100" kern="1200"/>
        </a:p>
        <a:p>
          <a:r>
            <a:rPr lang="en-GB" sz="1100" kern="1200"/>
            <a:t>The register sometimes lists multiple portraits in a single numbered entry. In these cases, I have duplicated rows to represent each portrait in a single numbered entry. </a:t>
          </a:r>
        </a:p>
        <a:p>
          <a:endParaRPr lang="en-GB" sz="1100" kern="1200"/>
        </a:p>
        <a:p>
          <a:r>
            <a:rPr lang="en-GB" sz="1100" kern="1200"/>
            <a:t>The register's folios are numbered. These numbers are included in the Folio column of the sheet. </a:t>
          </a:r>
        </a:p>
        <a:p>
          <a:endParaRPr lang="en-GB" sz="1100" kern="1200"/>
        </a:p>
        <a:p>
          <a:r>
            <a:rPr lang="en-GB" sz="1100" kern="1200"/>
            <a:t>The register includes two numbering systems for entries, one in red ink and the other in black ink. Each number has been inputted into separate columns. </a:t>
          </a:r>
        </a:p>
        <a:p>
          <a:endParaRPr lang="en-GB" sz="1100" kern="1200"/>
        </a:p>
        <a:p>
          <a:r>
            <a:rPr lang="en-GB" sz="1100" kern="1200"/>
            <a:t>The Medium column of the Data sheet records the portrait's medium using a controlled vocabulary of terms. This controlled vocabulary better facilitates analysis by medium. </a:t>
          </a:r>
        </a:p>
        <a:p>
          <a:endParaRPr lang="en-GB" sz="1100" kern="1200"/>
        </a:p>
        <a:p>
          <a:r>
            <a:rPr lang="en-GB" sz="1100" kern="1200"/>
            <a:t>For portraits that the register lists as a copy, and which are oil paintings, "yes" has been inputted in the Oil Copy? column. </a:t>
          </a:r>
        </a:p>
        <a:p>
          <a:endParaRPr lang="en-GB" sz="1100" kern="1200"/>
        </a:p>
        <a:p>
          <a:r>
            <a:rPr lang="en-GB" sz="1100" kern="1200"/>
            <a:t>Where an entry in the register includes additional information that was deemed of interest to this research project, this information has been inputted in the Notes column. In this column, text within square brackets denotes information that is not a direct quotation from the register.</a:t>
          </a:r>
        </a:p>
        <a:p>
          <a:endParaRPr lang="en-GB" sz="1100" kern="1200"/>
        </a:p>
        <a:p>
          <a:r>
            <a:rPr lang="en-GB" sz="1100" kern="1200"/>
            <a:t>Where an entry is not an oil copy nor a print, yet can be identified as a reproduction, "yes" has been inputted in the Known Reproduction? Excluding oil copies and prints column. </a:t>
          </a:r>
        </a:p>
        <a:p>
          <a:endParaRPr lang="en-GB" sz="1100" kern="1200"/>
        </a:p>
        <a:p>
          <a:r>
            <a:rPr lang="en-GB" sz="1100" kern="1200"/>
            <a:t>Where an entry can be identified as a portrait produced using Cornelius Varley's invention the graphic telescope, "yes" has been inputted in the Graphic Telescope column. </a:t>
          </a:r>
        </a:p>
        <a:p>
          <a:endParaRPr lang="en-GB" sz="1100" kern="1200"/>
        </a:p>
        <a:p>
          <a:r>
            <a:rPr lang="en-GB" sz="1100" kern="1200"/>
            <a:t>Where a print can be identified as having been produced ad vivum (i.e. from life rather than from another work of art), "yes" has been inputted in the Ad vivum print column. </a:t>
          </a:r>
        </a:p>
        <a:p>
          <a:endParaRPr lang="en-GB" sz="1100" kern="1200"/>
        </a:p>
        <a:p>
          <a:r>
            <a:rPr lang="en-GB" sz="1100" kern="1200"/>
            <a:t>The Portrait column was created to indicate where a row does not refer to a portrait in the collection. Portrait 407 (Black No.) is struckthrough in the register, hence the need for this column. </a:t>
          </a: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xdr:txBody>
    </xdr:sp>
    <xdr:clientData/>
  </xdr:twoCellAnchor>
  <xdr:twoCellAnchor>
    <xdr:from>
      <xdr:col>7</xdr:col>
      <xdr:colOff>0</xdr:colOff>
      <xdr:row>6</xdr:row>
      <xdr:rowOff>165100</xdr:rowOff>
    </xdr:from>
    <xdr:to>
      <xdr:col>12</xdr:col>
      <xdr:colOff>592666</xdr:colOff>
      <xdr:row>53</xdr:row>
      <xdr:rowOff>76200</xdr:rowOff>
    </xdr:to>
    <xdr:sp macro="" textlink="">
      <xdr:nvSpPr>
        <xdr:cNvPr id="3" name="TextBox 2">
          <a:extLst>
            <a:ext uri="{FF2B5EF4-FFF2-40B4-BE49-F238E27FC236}">
              <a16:creationId xmlns:a16="http://schemas.microsoft.com/office/drawing/2014/main" id="{6CAE6661-3827-774C-9D8E-65DE76E6F03E}"/>
            </a:ext>
          </a:extLst>
        </xdr:cNvPr>
        <xdr:cNvSpPr txBox="1"/>
      </xdr:nvSpPr>
      <xdr:spPr>
        <a:xfrm>
          <a:off x="5778500" y="1308100"/>
          <a:ext cx="4720166" cy="8864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Sheet: Portraits count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The pivot table in this sheet uses the Portrait column to count the number of portraits.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Sheet: Medium counts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The pivot table in this sheet counts the instances of each value in the Medium column.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Sheet: Oils count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The table in this sheet counts the number of copies in oil as well as the number of original oil paintings (by subtracting the number of copies in oil from the total number of oil paintings).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Sheet: Repros count exc oils &amp; prints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The pivot table in this sheet counts the instances of "yes" in the Known reproduction? Excluding oil copies and prints column.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Sheet: Ad vivum prints count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The pivot table in this sheet counts the instances of "yes" in the Ad vivum print column.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Sheet: Repros count</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The table in this sheet combines the counts for oil copies, prints excluding those made ad vivum, and other known reproductions. This gives the total number of reproductions of various types.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baseline="0">
              <a:solidFill>
                <a:schemeClr val="dk1"/>
              </a:solidFill>
              <a:effectLst/>
              <a:latin typeface="+mn-lt"/>
              <a:ea typeface="+mn-ea"/>
              <a:cs typeface="+mn-cs"/>
            </a:rPr>
            <a:t>Sheet: Repros vs Originals count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aseline="0">
              <a:solidFill>
                <a:schemeClr val="dk1"/>
              </a:solidFill>
              <a:effectLst/>
              <a:latin typeface="+mn-lt"/>
              <a:ea typeface="+mn-ea"/>
              <a:cs typeface="+mn-cs"/>
            </a:rPr>
            <a:t>The table in this sheet compares the number of reproductions (from the previous sheet) with the number of originals.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aseline="0">
            <a:solidFill>
              <a:schemeClr val="dk1"/>
            </a:solidFill>
            <a:effectLst/>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Siddhanth Bowyer" refreshedDate="45859.588542129626" createdVersion="8" refreshedVersion="8" minRefreshableVersion="3" recordCount="448" xr:uid="{FE90C21D-0561-FF4A-B533-4834AFD638F1}">
  <cacheSource type="worksheet">
    <worksheetSource ref="J1:J1048576" sheet="Data"/>
  </cacheSource>
  <cacheFields count="1">
    <cacheField name="Portrait" numFmtId="0">
      <sharedItems containsBlank="1" count="3">
        <b v="1"/>
        <b v="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Siddhanth Bowyer" refreshedDate="45859.588606944446" createdVersion="8" refreshedVersion="8" minRefreshableVersion="3" recordCount="448" xr:uid="{55069C36-6ED7-5746-B851-82D0C999895E}">
  <cacheSource type="worksheet">
    <worksheetSource ref="D1:E1048576" sheet="Data"/>
  </cacheSource>
  <cacheFields count="2">
    <cacheField name="Medium" numFmtId="0">
      <sharedItems containsBlank="1" count="28">
        <s v="chalk"/>
        <s v="oil painting"/>
        <s v="engraving"/>
        <s v="lithograph"/>
        <s v="drawing"/>
        <s v="medal or medallion"/>
        <s v="miniature"/>
        <s v="daguerreotype"/>
        <s v="woven"/>
        <s v="photograph"/>
        <s v="miniature; profile"/>
        <s v="bust"/>
        <s v="etching"/>
        <s v="crayon"/>
        <s v="sepia drawing; photograph"/>
        <s v="enamel painting"/>
        <s v="indian ink"/>
        <s v="sepia drawing"/>
        <s v="profile"/>
        <s v="coin"/>
        <s v="death mask"/>
        <s v="watercolour"/>
        <s v="[struckthrough]"/>
        <s v="calico painting"/>
        <m/>
        <s v="indian ink drawing" u="1"/>
        <s v="watercolour; engraving" u="1"/>
        <s v="death maskth mask" u="1"/>
      </sharedItems>
    </cacheField>
    <cacheField name="Oil Copy?"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Siddhanth Bowyer" refreshedDate="45859.588700231485" createdVersion="8" refreshedVersion="8" minRefreshableVersion="3" recordCount="448" xr:uid="{836959E5-F35D-D144-A2CA-7902EB66FF90}">
  <cacheSource type="worksheet">
    <worksheetSource ref="G1:G1048576" sheet="Data"/>
  </cacheSource>
  <cacheFields count="1">
    <cacheField name="Known Reproduction? Excluding oil copies and prints" numFmtId="0">
      <sharedItems containsBlank="1" count="2">
        <m/>
        <s v="ye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Siddhanth Bowyer" refreshedDate="45859.588758101854" createdVersion="8" refreshedVersion="8" minRefreshableVersion="3" recordCount="448" xr:uid="{2B4B3BD5-BF9C-2C47-8B33-7ABF6C1D60DE}">
  <cacheSource type="worksheet">
    <worksheetSource ref="I1:I1048576" sheet="Data"/>
  </cacheSource>
  <cacheFields count="1">
    <cacheField name="Ad vivum print" numFmtId="0">
      <sharedItems containsBlank="1" count="2">
        <m/>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8">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8">
  <r>
    <x v="0"/>
    <m/>
  </r>
  <r>
    <x v="1"/>
    <m/>
  </r>
  <r>
    <x v="1"/>
    <s v="yes"/>
  </r>
  <r>
    <x v="2"/>
    <m/>
  </r>
  <r>
    <x v="3"/>
    <m/>
  </r>
  <r>
    <x v="2"/>
    <m/>
  </r>
  <r>
    <x v="2"/>
    <m/>
  </r>
  <r>
    <x v="2"/>
    <m/>
  </r>
  <r>
    <x v="2"/>
    <m/>
  </r>
  <r>
    <x v="2"/>
    <m/>
  </r>
  <r>
    <x v="2"/>
    <m/>
  </r>
  <r>
    <x v="1"/>
    <m/>
  </r>
  <r>
    <x v="1"/>
    <m/>
  </r>
  <r>
    <x v="1"/>
    <m/>
  </r>
  <r>
    <x v="1"/>
    <m/>
  </r>
  <r>
    <x v="1"/>
    <m/>
  </r>
  <r>
    <x v="1"/>
    <s v="yes"/>
  </r>
  <r>
    <x v="1"/>
    <s v="yes"/>
  </r>
  <r>
    <x v="1"/>
    <s v="yes"/>
  </r>
  <r>
    <x v="1"/>
    <s v="yes"/>
  </r>
  <r>
    <x v="1"/>
    <s v="yes"/>
  </r>
  <r>
    <x v="1"/>
    <m/>
  </r>
  <r>
    <x v="1"/>
    <s v="yes"/>
  </r>
  <r>
    <x v="1"/>
    <m/>
  </r>
  <r>
    <x v="1"/>
    <m/>
  </r>
  <r>
    <x v="1"/>
    <s v="yes"/>
  </r>
  <r>
    <x v="1"/>
    <m/>
  </r>
  <r>
    <x v="2"/>
    <m/>
  </r>
  <r>
    <x v="2"/>
    <m/>
  </r>
  <r>
    <x v="2"/>
    <m/>
  </r>
  <r>
    <x v="2"/>
    <m/>
  </r>
  <r>
    <x v="2"/>
    <m/>
  </r>
  <r>
    <x v="2"/>
    <m/>
  </r>
  <r>
    <x v="2"/>
    <m/>
  </r>
  <r>
    <x v="2"/>
    <m/>
  </r>
  <r>
    <x v="4"/>
    <m/>
  </r>
  <r>
    <x v="2"/>
    <m/>
  </r>
  <r>
    <x v="2"/>
    <m/>
  </r>
  <r>
    <x v="3"/>
    <m/>
  </r>
  <r>
    <x v="2"/>
    <m/>
  </r>
  <r>
    <x v="2"/>
    <m/>
  </r>
  <r>
    <x v="3"/>
    <m/>
  </r>
  <r>
    <x v="2"/>
    <m/>
  </r>
  <r>
    <x v="2"/>
    <m/>
  </r>
  <r>
    <x v="3"/>
    <m/>
  </r>
  <r>
    <x v="2"/>
    <m/>
  </r>
  <r>
    <x v="2"/>
    <m/>
  </r>
  <r>
    <x v="2"/>
    <m/>
  </r>
  <r>
    <x v="2"/>
    <m/>
  </r>
  <r>
    <x v="2"/>
    <m/>
  </r>
  <r>
    <x v="2"/>
    <m/>
  </r>
  <r>
    <x v="2"/>
    <m/>
  </r>
  <r>
    <x v="3"/>
    <m/>
  </r>
  <r>
    <x v="2"/>
    <m/>
  </r>
  <r>
    <x v="5"/>
    <m/>
  </r>
  <r>
    <x v="5"/>
    <m/>
  </r>
  <r>
    <x v="5"/>
    <m/>
  </r>
  <r>
    <x v="2"/>
    <m/>
  </r>
  <r>
    <x v="6"/>
    <m/>
  </r>
  <r>
    <x v="2"/>
    <m/>
  </r>
  <r>
    <x v="2"/>
    <m/>
  </r>
  <r>
    <x v="2"/>
    <m/>
  </r>
  <r>
    <x v="2"/>
    <m/>
  </r>
  <r>
    <x v="2"/>
    <m/>
  </r>
  <r>
    <x v="2"/>
    <m/>
  </r>
  <r>
    <x v="2"/>
    <m/>
  </r>
  <r>
    <x v="2"/>
    <m/>
  </r>
  <r>
    <x v="2"/>
    <m/>
  </r>
  <r>
    <x v="2"/>
    <m/>
  </r>
  <r>
    <x v="2"/>
    <m/>
  </r>
  <r>
    <x v="2"/>
    <m/>
  </r>
  <r>
    <x v="2"/>
    <m/>
  </r>
  <r>
    <x v="2"/>
    <m/>
  </r>
  <r>
    <x v="1"/>
    <m/>
  </r>
  <r>
    <x v="7"/>
    <m/>
  </r>
  <r>
    <x v="2"/>
    <m/>
  </r>
  <r>
    <x v="8"/>
    <m/>
  </r>
  <r>
    <x v="7"/>
    <m/>
  </r>
  <r>
    <x v="9"/>
    <m/>
  </r>
  <r>
    <x v="9"/>
    <m/>
  </r>
  <r>
    <x v="7"/>
    <m/>
  </r>
  <r>
    <x v="10"/>
    <m/>
  </r>
  <r>
    <x v="2"/>
    <m/>
  </r>
  <r>
    <x v="2"/>
    <m/>
  </r>
  <r>
    <x v="2"/>
    <m/>
  </r>
  <r>
    <x v="2"/>
    <m/>
  </r>
  <r>
    <x v="2"/>
    <m/>
  </r>
  <r>
    <x v="2"/>
    <m/>
  </r>
  <r>
    <x v="5"/>
    <m/>
  </r>
  <r>
    <x v="2"/>
    <m/>
  </r>
  <r>
    <x v="11"/>
    <m/>
  </r>
  <r>
    <x v="1"/>
    <m/>
  </r>
  <r>
    <x v="11"/>
    <m/>
  </r>
  <r>
    <x v="11"/>
    <m/>
  </r>
  <r>
    <x v="11"/>
    <m/>
  </r>
  <r>
    <x v="1"/>
    <m/>
  </r>
  <r>
    <x v="1"/>
    <m/>
  </r>
  <r>
    <x v="1"/>
    <m/>
  </r>
  <r>
    <x v="1"/>
    <m/>
  </r>
  <r>
    <x v="3"/>
    <m/>
  </r>
  <r>
    <x v="5"/>
    <m/>
  </r>
  <r>
    <x v="5"/>
    <m/>
  </r>
  <r>
    <x v="2"/>
    <m/>
  </r>
  <r>
    <x v="2"/>
    <m/>
  </r>
  <r>
    <x v="2"/>
    <m/>
  </r>
  <r>
    <x v="2"/>
    <m/>
  </r>
  <r>
    <x v="2"/>
    <m/>
  </r>
  <r>
    <x v="2"/>
    <m/>
  </r>
  <r>
    <x v="2"/>
    <m/>
  </r>
  <r>
    <x v="2"/>
    <m/>
  </r>
  <r>
    <x v="2"/>
    <m/>
  </r>
  <r>
    <x v="2"/>
    <m/>
  </r>
  <r>
    <x v="2"/>
    <m/>
  </r>
  <r>
    <x v="2"/>
    <m/>
  </r>
  <r>
    <x v="2"/>
    <m/>
  </r>
  <r>
    <x v="2"/>
    <m/>
  </r>
  <r>
    <x v="2"/>
    <m/>
  </r>
  <r>
    <x v="2"/>
    <m/>
  </r>
  <r>
    <x v="2"/>
    <m/>
  </r>
  <r>
    <x v="2"/>
    <m/>
  </r>
  <r>
    <x v="2"/>
    <m/>
  </r>
  <r>
    <x v="11"/>
    <m/>
  </r>
  <r>
    <x v="2"/>
    <m/>
  </r>
  <r>
    <x v="2"/>
    <m/>
  </r>
  <r>
    <x v="2"/>
    <m/>
  </r>
  <r>
    <x v="3"/>
    <m/>
  </r>
  <r>
    <x v="2"/>
    <m/>
  </r>
  <r>
    <x v="2"/>
    <m/>
  </r>
  <r>
    <x v="2"/>
    <m/>
  </r>
  <r>
    <x v="2"/>
    <m/>
  </r>
  <r>
    <x v="2"/>
    <m/>
  </r>
  <r>
    <x v="2"/>
    <m/>
  </r>
  <r>
    <x v="2"/>
    <m/>
  </r>
  <r>
    <x v="2"/>
    <m/>
  </r>
  <r>
    <x v="2"/>
    <m/>
  </r>
  <r>
    <x v="2"/>
    <m/>
  </r>
  <r>
    <x v="2"/>
    <m/>
  </r>
  <r>
    <x v="2"/>
    <m/>
  </r>
  <r>
    <x v="2"/>
    <m/>
  </r>
  <r>
    <x v="12"/>
    <m/>
  </r>
  <r>
    <x v="2"/>
    <m/>
  </r>
  <r>
    <x v="2"/>
    <m/>
  </r>
  <r>
    <x v="2"/>
    <m/>
  </r>
  <r>
    <x v="2"/>
    <m/>
  </r>
  <r>
    <x v="2"/>
    <m/>
  </r>
  <r>
    <x v="2"/>
    <m/>
  </r>
  <r>
    <x v="2"/>
    <m/>
  </r>
  <r>
    <x v="2"/>
    <m/>
  </r>
  <r>
    <x v="2"/>
    <m/>
  </r>
  <r>
    <x v="9"/>
    <m/>
  </r>
  <r>
    <x v="9"/>
    <m/>
  </r>
  <r>
    <x v="2"/>
    <m/>
  </r>
  <r>
    <x v="2"/>
    <m/>
  </r>
  <r>
    <x v="3"/>
    <m/>
  </r>
  <r>
    <x v="12"/>
    <m/>
  </r>
  <r>
    <x v="12"/>
    <m/>
  </r>
  <r>
    <x v="3"/>
    <m/>
  </r>
  <r>
    <x v="1"/>
    <m/>
  </r>
  <r>
    <x v="1"/>
    <m/>
  </r>
  <r>
    <x v="1"/>
    <m/>
  </r>
  <r>
    <x v="9"/>
    <m/>
  </r>
  <r>
    <x v="1"/>
    <m/>
  </r>
  <r>
    <x v="1"/>
    <m/>
  </r>
  <r>
    <x v="1"/>
    <m/>
  </r>
  <r>
    <x v="2"/>
    <m/>
  </r>
  <r>
    <x v="2"/>
    <m/>
  </r>
  <r>
    <x v="1"/>
    <m/>
  </r>
  <r>
    <x v="1"/>
    <m/>
  </r>
  <r>
    <x v="1"/>
    <s v="yes"/>
  </r>
  <r>
    <x v="1"/>
    <m/>
  </r>
  <r>
    <x v="1"/>
    <m/>
  </r>
  <r>
    <x v="13"/>
    <m/>
  </r>
  <r>
    <x v="14"/>
    <m/>
  </r>
  <r>
    <x v="9"/>
    <m/>
  </r>
  <r>
    <x v="9"/>
    <m/>
  </r>
  <r>
    <x v="9"/>
    <m/>
  </r>
  <r>
    <x v="9"/>
    <m/>
  </r>
  <r>
    <x v="9"/>
    <m/>
  </r>
  <r>
    <x v="1"/>
    <s v="yes"/>
  </r>
  <r>
    <x v="11"/>
    <m/>
  </r>
  <r>
    <x v="3"/>
    <m/>
  </r>
  <r>
    <x v="3"/>
    <m/>
  </r>
  <r>
    <x v="1"/>
    <s v="yes"/>
  </r>
  <r>
    <x v="15"/>
    <m/>
  </r>
  <r>
    <x v="2"/>
    <m/>
  </r>
  <r>
    <x v="2"/>
    <m/>
  </r>
  <r>
    <x v="3"/>
    <m/>
  </r>
  <r>
    <x v="2"/>
    <m/>
  </r>
  <r>
    <x v="9"/>
    <m/>
  </r>
  <r>
    <x v="4"/>
    <m/>
  </r>
  <r>
    <x v="9"/>
    <m/>
  </r>
  <r>
    <x v="4"/>
    <m/>
  </r>
  <r>
    <x v="4"/>
    <m/>
  </r>
  <r>
    <x v="4"/>
    <m/>
  </r>
  <r>
    <x v="4"/>
    <m/>
  </r>
  <r>
    <x v="2"/>
    <m/>
  </r>
  <r>
    <x v="4"/>
    <m/>
  </r>
  <r>
    <x v="2"/>
    <m/>
  </r>
  <r>
    <x v="9"/>
    <m/>
  </r>
  <r>
    <x v="2"/>
    <m/>
  </r>
  <r>
    <x v="13"/>
    <m/>
  </r>
  <r>
    <x v="2"/>
    <m/>
  </r>
  <r>
    <x v="2"/>
    <m/>
  </r>
  <r>
    <x v="2"/>
    <m/>
  </r>
  <r>
    <x v="2"/>
    <m/>
  </r>
  <r>
    <x v="16"/>
    <m/>
  </r>
  <r>
    <x v="2"/>
    <m/>
  </r>
  <r>
    <x v="2"/>
    <m/>
  </r>
  <r>
    <x v="2"/>
    <m/>
  </r>
  <r>
    <x v="2"/>
    <m/>
  </r>
  <r>
    <x v="1"/>
    <m/>
  </r>
  <r>
    <x v="17"/>
    <m/>
  </r>
  <r>
    <x v="18"/>
    <m/>
  </r>
  <r>
    <x v="9"/>
    <m/>
  </r>
  <r>
    <x v="19"/>
    <m/>
  </r>
  <r>
    <x v="19"/>
    <m/>
  </r>
  <r>
    <x v="1"/>
    <m/>
  </r>
  <r>
    <x v="1"/>
    <s v="yes"/>
  </r>
  <r>
    <x v="3"/>
    <m/>
  </r>
  <r>
    <x v="11"/>
    <m/>
  </r>
  <r>
    <x v="17"/>
    <m/>
  </r>
  <r>
    <x v="17"/>
    <m/>
  </r>
  <r>
    <x v="17"/>
    <m/>
  </r>
  <r>
    <x v="17"/>
    <m/>
  </r>
  <r>
    <x v="17"/>
    <m/>
  </r>
  <r>
    <x v="17"/>
    <m/>
  </r>
  <r>
    <x v="17"/>
    <m/>
  </r>
  <r>
    <x v="17"/>
    <m/>
  </r>
  <r>
    <x v="2"/>
    <m/>
  </r>
  <r>
    <x v="2"/>
    <m/>
  </r>
  <r>
    <x v="2"/>
    <m/>
  </r>
  <r>
    <x v="2"/>
    <m/>
  </r>
  <r>
    <x v="2"/>
    <m/>
  </r>
  <r>
    <x v="2"/>
    <m/>
  </r>
  <r>
    <x v="5"/>
    <m/>
  </r>
  <r>
    <x v="5"/>
    <m/>
  </r>
  <r>
    <x v="5"/>
    <m/>
  </r>
  <r>
    <x v="2"/>
    <m/>
  </r>
  <r>
    <x v="1"/>
    <m/>
  </r>
  <r>
    <x v="1"/>
    <m/>
  </r>
  <r>
    <x v="2"/>
    <m/>
  </r>
  <r>
    <x v="1"/>
    <m/>
  </r>
  <r>
    <x v="18"/>
    <m/>
  </r>
  <r>
    <x v="17"/>
    <m/>
  </r>
  <r>
    <x v="2"/>
    <m/>
  </r>
  <r>
    <x v="2"/>
    <m/>
  </r>
  <r>
    <x v="2"/>
    <m/>
  </r>
  <r>
    <x v="5"/>
    <m/>
  </r>
  <r>
    <x v="5"/>
    <m/>
  </r>
  <r>
    <x v="5"/>
    <m/>
  </r>
  <r>
    <x v="2"/>
    <m/>
  </r>
  <r>
    <x v="2"/>
    <m/>
  </r>
  <r>
    <x v="2"/>
    <m/>
  </r>
  <r>
    <x v="6"/>
    <m/>
  </r>
  <r>
    <x v="2"/>
    <m/>
  </r>
  <r>
    <x v="2"/>
    <m/>
  </r>
  <r>
    <x v="9"/>
    <m/>
  </r>
  <r>
    <x v="2"/>
    <m/>
  </r>
  <r>
    <x v="2"/>
    <m/>
  </r>
  <r>
    <x v="2"/>
    <m/>
  </r>
  <r>
    <x v="2"/>
    <m/>
  </r>
  <r>
    <x v="2"/>
    <m/>
  </r>
  <r>
    <x v="2"/>
    <m/>
  </r>
  <r>
    <x v="9"/>
    <m/>
  </r>
  <r>
    <x v="14"/>
    <m/>
  </r>
  <r>
    <x v="17"/>
    <m/>
  </r>
  <r>
    <x v="1"/>
    <s v="yes"/>
  </r>
  <r>
    <x v="9"/>
    <m/>
  </r>
  <r>
    <x v="14"/>
    <m/>
  </r>
  <r>
    <x v="9"/>
    <m/>
  </r>
  <r>
    <x v="14"/>
    <m/>
  </r>
  <r>
    <x v="9"/>
    <m/>
  </r>
  <r>
    <x v="9"/>
    <m/>
  </r>
  <r>
    <x v="9"/>
    <m/>
  </r>
  <r>
    <x v="9"/>
    <m/>
  </r>
  <r>
    <x v="2"/>
    <m/>
  </r>
  <r>
    <x v="9"/>
    <m/>
  </r>
  <r>
    <x v="9"/>
    <m/>
  </r>
  <r>
    <x v="9"/>
    <m/>
  </r>
  <r>
    <x v="9"/>
    <m/>
  </r>
  <r>
    <x v="2"/>
    <m/>
  </r>
  <r>
    <x v="1"/>
    <m/>
  </r>
  <r>
    <x v="9"/>
    <m/>
  </r>
  <r>
    <x v="1"/>
    <m/>
  </r>
  <r>
    <x v="1"/>
    <m/>
  </r>
  <r>
    <x v="1"/>
    <m/>
  </r>
  <r>
    <x v="1"/>
    <m/>
  </r>
  <r>
    <x v="9"/>
    <m/>
  </r>
  <r>
    <x v="2"/>
    <m/>
  </r>
  <r>
    <x v="3"/>
    <m/>
  </r>
  <r>
    <x v="2"/>
    <m/>
  </r>
  <r>
    <x v="11"/>
    <m/>
  </r>
  <r>
    <x v="11"/>
    <m/>
  </r>
  <r>
    <x v="11"/>
    <m/>
  </r>
  <r>
    <x v="11"/>
    <m/>
  </r>
  <r>
    <x v="11"/>
    <m/>
  </r>
  <r>
    <x v="11"/>
    <m/>
  </r>
  <r>
    <x v="11"/>
    <m/>
  </r>
  <r>
    <x v="11"/>
    <m/>
  </r>
  <r>
    <x v="1"/>
    <s v="yes"/>
  </r>
  <r>
    <x v="2"/>
    <m/>
  </r>
  <r>
    <x v="2"/>
    <m/>
  </r>
  <r>
    <x v="1"/>
    <s v="yes"/>
  </r>
  <r>
    <x v="9"/>
    <m/>
  </r>
  <r>
    <x v="20"/>
    <m/>
  </r>
  <r>
    <x v="1"/>
    <m/>
  </r>
  <r>
    <x v="21"/>
    <m/>
  </r>
  <r>
    <x v="1"/>
    <m/>
  </r>
  <r>
    <x v="1"/>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9"/>
    <m/>
  </r>
  <r>
    <x v="3"/>
    <m/>
  </r>
  <r>
    <x v="2"/>
    <m/>
  </r>
  <r>
    <x v="3"/>
    <m/>
  </r>
  <r>
    <x v="13"/>
    <m/>
  </r>
  <r>
    <x v="1"/>
    <s v="yes"/>
  </r>
  <r>
    <x v="9"/>
    <m/>
  </r>
  <r>
    <x v="9"/>
    <m/>
  </r>
  <r>
    <x v="2"/>
    <m/>
  </r>
  <r>
    <x v="9"/>
    <m/>
  </r>
  <r>
    <x v="2"/>
    <m/>
  </r>
  <r>
    <x v="2"/>
    <m/>
  </r>
  <r>
    <x v="2"/>
    <m/>
  </r>
  <r>
    <x v="2"/>
    <m/>
  </r>
  <r>
    <x v="2"/>
    <m/>
  </r>
  <r>
    <x v="2"/>
    <m/>
  </r>
  <r>
    <x v="1"/>
    <m/>
  </r>
  <r>
    <x v="1"/>
    <m/>
  </r>
  <r>
    <x v="1"/>
    <m/>
  </r>
  <r>
    <x v="1"/>
    <s v="yes"/>
  </r>
  <r>
    <x v="2"/>
    <m/>
  </r>
  <r>
    <x v="2"/>
    <m/>
  </r>
  <r>
    <x v="1"/>
    <m/>
  </r>
  <r>
    <x v="1"/>
    <m/>
  </r>
  <r>
    <x v="6"/>
    <m/>
  </r>
  <r>
    <x v="5"/>
    <m/>
  </r>
  <r>
    <x v="3"/>
    <m/>
  </r>
  <r>
    <x v="21"/>
    <m/>
  </r>
  <r>
    <x v="2"/>
    <m/>
  </r>
  <r>
    <x v="2"/>
    <m/>
  </r>
  <r>
    <x v="9"/>
    <m/>
  </r>
  <r>
    <x v="9"/>
    <m/>
  </r>
  <r>
    <x v="9"/>
    <m/>
  </r>
  <r>
    <x v="9"/>
    <m/>
  </r>
  <r>
    <x v="9"/>
    <m/>
  </r>
  <r>
    <x v="9"/>
    <m/>
  </r>
  <r>
    <x v="1"/>
    <m/>
  </r>
  <r>
    <x v="3"/>
    <m/>
  </r>
  <r>
    <x v="11"/>
    <m/>
  </r>
  <r>
    <x v="11"/>
    <m/>
  </r>
  <r>
    <x v="1"/>
    <m/>
  </r>
  <r>
    <x v="1"/>
    <s v="yes"/>
  </r>
  <r>
    <x v="9"/>
    <m/>
  </r>
  <r>
    <x v="9"/>
    <m/>
  </r>
  <r>
    <x v="1"/>
    <m/>
  </r>
  <r>
    <x v="22"/>
    <m/>
  </r>
  <r>
    <x v="13"/>
    <m/>
  </r>
  <r>
    <x v="9"/>
    <m/>
  </r>
  <r>
    <x v="1"/>
    <s v="yes"/>
  </r>
  <r>
    <x v="1"/>
    <s v="yes"/>
  </r>
  <r>
    <x v="1"/>
    <s v="yes"/>
  </r>
  <r>
    <x v="1"/>
    <m/>
  </r>
  <r>
    <x v="1"/>
    <m/>
  </r>
  <r>
    <x v="11"/>
    <m/>
  </r>
  <r>
    <x v="1"/>
    <m/>
  </r>
  <r>
    <x v="9"/>
    <m/>
  </r>
  <r>
    <x v="1"/>
    <s v="yes"/>
  </r>
  <r>
    <x v="3"/>
    <m/>
  </r>
  <r>
    <x v="2"/>
    <m/>
  </r>
  <r>
    <x v="9"/>
    <m/>
  </r>
  <r>
    <x v="9"/>
    <m/>
  </r>
  <r>
    <x v="3"/>
    <m/>
  </r>
  <r>
    <x v="13"/>
    <m/>
  </r>
  <r>
    <x v="9"/>
    <m/>
  </r>
  <r>
    <x v="2"/>
    <m/>
  </r>
  <r>
    <x v="2"/>
    <m/>
  </r>
  <r>
    <x v="23"/>
    <m/>
  </r>
  <r>
    <x v="23"/>
    <m/>
  </r>
  <r>
    <x v="23"/>
    <m/>
  </r>
  <r>
    <x v="9"/>
    <m/>
  </r>
  <r>
    <x v="2"/>
    <m/>
  </r>
  <r>
    <x v="9"/>
    <m/>
  </r>
  <r>
    <x v="1"/>
    <m/>
  </r>
  <r>
    <x v="1"/>
    <m/>
  </r>
  <r>
    <x v="2"/>
    <m/>
  </r>
  <r>
    <x v="6"/>
    <m/>
  </r>
  <r>
    <x v="9"/>
    <m/>
  </r>
  <r>
    <x v="11"/>
    <m/>
  </r>
  <r>
    <x v="1"/>
    <s v="yes"/>
  </r>
  <r>
    <x v="24"/>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8">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1"/>
  </r>
  <r>
    <x v="1"/>
  </r>
  <r>
    <x v="0"/>
  </r>
  <r>
    <x v="1"/>
  </r>
  <r>
    <x v="1"/>
  </r>
  <r>
    <x v="0"/>
  </r>
  <r>
    <x v="1"/>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1"/>
  </r>
  <r>
    <x v="1"/>
  </r>
  <r>
    <x v="0"/>
  </r>
  <r>
    <x v="0"/>
  </r>
  <r>
    <x v="0"/>
  </r>
  <r>
    <x v="0"/>
  </r>
  <r>
    <x v="1"/>
  </r>
  <r>
    <x v="1"/>
  </r>
  <r>
    <x v="1"/>
  </r>
  <r>
    <x v="1"/>
  </r>
  <r>
    <x v="1"/>
  </r>
  <r>
    <x v="1"/>
  </r>
  <r>
    <x v="1"/>
  </r>
  <r>
    <x v="1"/>
  </r>
  <r>
    <x v="0"/>
  </r>
  <r>
    <x v="0"/>
  </r>
  <r>
    <x v="0"/>
  </r>
  <r>
    <x v="0"/>
  </r>
  <r>
    <x v="0"/>
  </r>
  <r>
    <x v="0"/>
  </r>
  <r>
    <x v="1"/>
  </r>
  <r>
    <x v="1"/>
  </r>
  <r>
    <x v="1"/>
  </r>
  <r>
    <x v="0"/>
  </r>
  <r>
    <x v="0"/>
  </r>
  <r>
    <x v="0"/>
  </r>
  <r>
    <x v="0"/>
  </r>
  <r>
    <x v="0"/>
  </r>
  <r>
    <x v="0"/>
  </r>
  <r>
    <x v="1"/>
  </r>
  <r>
    <x v="0"/>
  </r>
  <r>
    <x v="0"/>
  </r>
  <r>
    <x v="0"/>
  </r>
  <r>
    <x v="1"/>
  </r>
  <r>
    <x v="1"/>
  </r>
  <r>
    <x v="1"/>
  </r>
  <r>
    <x v="0"/>
  </r>
  <r>
    <x v="0"/>
  </r>
  <r>
    <x v="0"/>
  </r>
  <r>
    <x v="0"/>
  </r>
  <r>
    <x v="0"/>
  </r>
  <r>
    <x v="0"/>
  </r>
  <r>
    <x v="1"/>
  </r>
  <r>
    <x v="0"/>
  </r>
  <r>
    <x v="0"/>
  </r>
  <r>
    <x v="0"/>
  </r>
  <r>
    <x v="0"/>
  </r>
  <r>
    <x v="0"/>
  </r>
  <r>
    <x v="0"/>
  </r>
  <r>
    <x v="1"/>
  </r>
  <r>
    <x v="1"/>
  </r>
  <r>
    <x v="1"/>
  </r>
  <r>
    <x v="0"/>
  </r>
  <r>
    <x v="1"/>
  </r>
  <r>
    <x v="1"/>
  </r>
  <r>
    <x v="1"/>
  </r>
  <r>
    <x v="1"/>
  </r>
  <r>
    <x v="1"/>
  </r>
  <r>
    <x v="0"/>
  </r>
  <r>
    <x v="1"/>
  </r>
  <r>
    <x v="1"/>
  </r>
  <r>
    <x v="0"/>
  </r>
  <r>
    <x v="0"/>
  </r>
  <r>
    <x v="1"/>
  </r>
  <r>
    <x v="1"/>
  </r>
  <r>
    <x v="1"/>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8">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347E12-66DB-F248-9123-6E70942A80DA}" name="ptbl_Portraits_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
    <pivotField axis="axisRow" dataField="1" showAll="0">
      <items count="4">
        <item x="1"/>
        <item x="0"/>
        <item x="2"/>
        <item t="default"/>
      </items>
    </pivotField>
  </pivotFields>
  <rowFields count="1">
    <field x="0"/>
  </rowFields>
  <rowItems count="4">
    <i>
      <x/>
    </i>
    <i>
      <x v="1"/>
    </i>
    <i>
      <x v="2"/>
    </i>
    <i t="grand">
      <x/>
    </i>
  </rowItems>
  <colItems count="1">
    <i/>
  </colItems>
  <dataFields count="1">
    <dataField name="Count of Portrai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4055BF-352C-4543-B35F-9710E21FA538}" name="ptbl_Medium_coun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9" firstHeaderRow="0" firstDataRow="1" firstDataCol="1"/>
  <pivotFields count="2">
    <pivotField axis="axisRow" dataField="1" showAll="0" sortType="ascending">
      <items count="29">
        <item x="22"/>
        <item x="11"/>
        <item x="23"/>
        <item x="0"/>
        <item x="19"/>
        <item x="13"/>
        <item x="7"/>
        <item x="20"/>
        <item m="1" x="27"/>
        <item x="4"/>
        <item x="15"/>
        <item x="2"/>
        <item x="12"/>
        <item x="16"/>
        <item m="1" x="25"/>
        <item x="3"/>
        <item x="5"/>
        <item x="6"/>
        <item x="10"/>
        <item x="1"/>
        <item x="9"/>
        <item x="18"/>
        <item x="17"/>
        <item x="14"/>
        <item x="21"/>
        <item m="1" x="26"/>
        <item x="8"/>
        <item x="24"/>
        <item t="default"/>
      </items>
    </pivotField>
    <pivotField dataField="1" showAll="0"/>
  </pivotFields>
  <rowFields count="1">
    <field x="0"/>
  </rowFields>
  <rowItems count="26">
    <i>
      <x/>
    </i>
    <i>
      <x v="1"/>
    </i>
    <i>
      <x v="2"/>
    </i>
    <i>
      <x v="3"/>
    </i>
    <i>
      <x v="4"/>
    </i>
    <i>
      <x v="5"/>
    </i>
    <i>
      <x v="6"/>
    </i>
    <i>
      <x v="7"/>
    </i>
    <i>
      <x v="9"/>
    </i>
    <i>
      <x v="10"/>
    </i>
    <i>
      <x v="11"/>
    </i>
    <i>
      <x v="12"/>
    </i>
    <i>
      <x v="13"/>
    </i>
    <i>
      <x v="15"/>
    </i>
    <i>
      <x v="16"/>
    </i>
    <i>
      <x v="17"/>
    </i>
    <i>
      <x v="18"/>
    </i>
    <i>
      <x v="19"/>
    </i>
    <i>
      <x v="20"/>
    </i>
    <i>
      <x v="21"/>
    </i>
    <i>
      <x v="22"/>
    </i>
    <i>
      <x v="23"/>
    </i>
    <i>
      <x v="24"/>
    </i>
    <i>
      <x v="26"/>
    </i>
    <i>
      <x v="27"/>
    </i>
    <i t="grand">
      <x/>
    </i>
  </rowItems>
  <colFields count="1">
    <field x="-2"/>
  </colFields>
  <colItems count="2">
    <i>
      <x/>
    </i>
    <i i="1">
      <x v="1"/>
    </i>
  </colItems>
  <dataFields count="2">
    <dataField name="Count of Medium" fld="0" subtotal="count" baseField="0" baseItem="0"/>
    <dataField name="Count of Oil Cop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E00CEF-8411-4243-B502-71B17448371C}" name="ptbl_Repros_count_excOilsPrint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
    <pivotField axis="axisRow" dataField="1" showAll="0">
      <items count="3">
        <item x="1"/>
        <item x="0"/>
        <item t="default"/>
      </items>
    </pivotField>
  </pivotFields>
  <rowFields count="1">
    <field x="0"/>
  </rowFields>
  <rowItems count="3">
    <i>
      <x/>
    </i>
    <i>
      <x v="1"/>
    </i>
    <i t="grand">
      <x/>
    </i>
  </rowItems>
  <colItems count="1">
    <i/>
  </colItems>
  <dataFields count="1">
    <dataField name="Count of Known Reproduction? Excluding oil copies and pri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552D14-CDA4-7242-AB49-AA64075B6A31}" name="ptbl_AdVivum_cou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
    <pivotField axis="axisRow" dataField="1" showAll="0">
      <items count="3">
        <item x="1"/>
        <item x="0"/>
        <item t="default"/>
      </items>
    </pivotField>
  </pivotFields>
  <rowFields count="1">
    <field x="0"/>
  </rowFields>
  <rowItems count="3">
    <i>
      <x/>
    </i>
    <i>
      <x v="1"/>
    </i>
    <i t="grand">
      <x/>
    </i>
  </rowItems>
  <colItems count="1">
    <i/>
  </colItems>
  <dataFields count="1">
    <dataField name="Count of Ad vivum pri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E17A49-BE82-FF49-9DCB-25833E7577ED}" name="tbl_Data" displayName="tbl_Data" ref="A1:J448" totalsRowShown="0">
  <autoFilter ref="A1:J448" xr:uid="{7BE17A49-BE82-FF49-9DCB-25833E7577ED}"/>
  <tableColumns count="10">
    <tableColumn id="1" xr3:uid="{11BD5C44-472F-B649-BE08-9778E18EAD2A}" name="Folio"/>
    <tableColumn id="2" xr3:uid="{452B1464-E588-E040-9C84-0518647D7E16}" name="Red No."/>
    <tableColumn id="3" xr3:uid="{5CF5F8EE-AF1B-DC4A-9941-D98601123825}" name="Black No."/>
    <tableColumn id="4" xr3:uid="{2DCFE061-981E-AE4D-9EDF-B0627EFDB2B3}" name="Medium"/>
    <tableColumn id="5" xr3:uid="{E7501A84-BF83-4F48-B5B0-E7D5B690AE89}" name="Oil Copy?"/>
    <tableColumn id="6" xr3:uid="{98BC155D-4BB7-9D4B-9B53-6F175B8A307A}" name="Notes"/>
    <tableColumn id="8" xr3:uid="{7BC834DA-6149-134F-91A7-98473B6165C0}" name="Known Reproduction? Excluding oil copies and prints"/>
    <tableColumn id="7" xr3:uid="{F0A55C6C-A4D6-DB43-AA87-A7C560E456C9}" name="Graphic Telescope"/>
    <tableColumn id="10" xr3:uid="{E03EA10D-3419-794B-AD91-123F700B5E0D}" name="Ad vivum print"/>
    <tableColumn id="9" xr3:uid="{C6F652CA-D74E-E044-A5C1-269F196925E6}" name="Portrait" dataDxfId="1"/>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C2A860-083C-7440-9D11-058EE386CB3D}" name="tbl_Oils_count" displayName="tbl_Oils_count" ref="A2:B4" totalsRowShown="0">
  <autoFilter ref="A2:B4" xr:uid="{30C2A860-083C-7440-9D11-058EE386CB3D}"/>
  <tableColumns count="2">
    <tableColumn id="1" xr3:uid="{18C6F21F-57CE-8643-8597-514343929CA6}" name="Types of oil painting"/>
    <tableColumn id="2" xr3:uid="{FB707F56-8EAC-8F44-9EEA-2AB31ABA75BC}" name="Count" dataDxfId="0">
      <calculatedColumnFormula>GETPIVOTDATA("Count of Oil Copy?",'Medium counts'!$A$3,"Medium","oil painting")</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A6C13EA-7685-514E-B5B3-C52531099CC7}" name="tbl_Repros_count" displayName="tbl_Repros_count" ref="A2:B5" totalsRowShown="0">
  <autoFilter ref="A2:B5" xr:uid="{CA6C13EA-7685-514E-B5B3-C52531099CC7}"/>
  <tableColumns count="2">
    <tableColumn id="1" xr3:uid="{F65DEABB-419B-8F43-B6FC-9BCBF4A2720D}" name="Type of reproduction"/>
    <tableColumn id="2" xr3:uid="{24A28682-E539-2946-BF2A-96F24A9D0140}" name="Cou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952A50A-8E2C-2044-8477-4DC268898FBE}" name="tbl_ReprosOriginals_count" displayName="tbl_ReprosOriginals_count" ref="A2:C6" totalsRowShown="0">
  <autoFilter ref="A2:C6" xr:uid="{CA6C13EA-7685-514E-B5B3-C52531099CC7}"/>
  <tableColumns count="3">
    <tableColumn id="4" xr3:uid="{8B04E40A-EFB5-CE48-8393-50E9F62D4F72}" name="Original or reproduction"/>
    <tableColumn id="1" xr3:uid="{96B173BC-0D09-6E4B-97EC-EC397677E0B8}" name="Type"/>
    <tableColumn id="2" xr3:uid="{511FDBBD-1341-1A4A-BD77-5651C9A4F8F6}"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72026-687A-5A4F-B71D-3EDDAF14D06A}">
  <dimension ref="A1"/>
  <sheetViews>
    <sheetView tabSelected="1" workbookViewId="0">
      <selection activeCell="P11" sqref="P11"/>
    </sheetView>
  </sheetViews>
  <sheetFormatPr baseColWidth="10"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01A47-E83B-4242-B718-404A8CF8348E}">
  <dimension ref="A1:J448"/>
  <sheetViews>
    <sheetView workbookViewId="0">
      <pane ySplit="1" topLeftCell="A2" activePane="bottomLeft" state="frozen"/>
      <selection pane="bottomLeft" activeCell="F18" sqref="F18"/>
    </sheetView>
  </sheetViews>
  <sheetFormatPr baseColWidth="10" defaultColWidth="8.83203125" defaultRowHeight="15" x14ac:dyDescent="0.2"/>
  <cols>
    <col min="2" max="2" width="9.5" customWidth="1"/>
    <col min="3" max="3" width="10.5" customWidth="1"/>
    <col min="4" max="4" width="21.6640625" bestFit="1" customWidth="1"/>
    <col min="5" max="5" width="10.6640625" customWidth="1"/>
    <col min="6" max="6" width="125.83203125" bestFit="1" customWidth="1"/>
    <col min="7" max="7" width="45.1640625" bestFit="1" customWidth="1"/>
    <col min="8" max="8" width="18.5" customWidth="1"/>
    <col min="9" max="9" width="15" bestFit="1" customWidth="1"/>
    <col min="13" max="13" width="17.5" bestFit="1" customWidth="1"/>
  </cols>
  <sheetData>
    <row r="1" spans="1:10" x14ac:dyDescent="0.2">
      <c r="A1" t="s">
        <v>1</v>
      </c>
      <c r="B1" t="s">
        <v>8</v>
      </c>
      <c r="C1" t="s">
        <v>7</v>
      </c>
      <c r="D1" t="s">
        <v>0</v>
      </c>
      <c r="E1" t="s">
        <v>56</v>
      </c>
      <c r="F1" t="s">
        <v>2</v>
      </c>
      <c r="G1" t="s">
        <v>59</v>
      </c>
      <c r="H1" t="s">
        <v>94</v>
      </c>
      <c r="I1" t="s">
        <v>89</v>
      </c>
      <c r="J1" t="s">
        <v>79</v>
      </c>
    </row>
    <row r="2" spans="1:10" x14ac:dyDescent="0.2">
      <c r="A2">
        <v>1</v>
      </c>
      <c r="B2">
        <v>1</v>
      </c>
      <c r="C2">
        <v>1</v>
      </c>
      <c r="D2" t="s">
        <v>12</v>
      </c>
      <c r="J2" s="4" t="b">
        <v>1</v>
      </c>
    </row>
    <row r="3" spans="1:10" x14ac:dyDescent="0.2">
      <c r="A3">
        <v>1</v>
      </c>
      <c r="B3">
        <v>2</v>
      </c>
      <c r="C3">
        <v>2</v>
      </c>
      <c r="D3" t="s">
        <v>16</v>
      </c>
      <c r="J3" s="4" t="b">
        <v>1</v>
      </c>
    </row>
    <row r="4" spans="1:10" x14ac:dyDescent="0.2">
      <c r="A4">
        <v>1</v>
      </c>
      <c r="C4">
        <v>3</v>
      </c>
      <c r="D4" t="s">
        <v>16</v>
      </c>
      <c r="E4" t="s">
        <v>58</v>
      </c>
      <c r="J4" s="4" t="b">
        <v>1</v>
      </c>
    </row>
    <row r="5" spans="1:10" x14ac:dyDescent="0.2">
      <c r="A5">
        <v>1</v>
      </c>
      <c r="B5">
        <v>3</v>
      </c>
      <c r="C5">
        <v>4</v>
      </c>
      <c r="D5" t="s">
        <v>18</v>
      </c>
      <c r="J5" s="4" t="b">
        <v>1</v>
      </c>
    </row>
    <row r="6" spans="1:10" x14ac:dyDescent="0.2">
      <c r="A6">
        <v>1</v>
      </c>
      <c r="B6">
        <v>4</v>
      </c>
      <c r="C6">
        <v>5</v>
      </c>
      <c r="D6" t="s">
        <v>20</v>
      </c>
      <c r="J6" s="4" t="b">
        <v>1</v>
      </c>
    </row>
    <row r="7" spans="1:10" x14ac:dyDescent="0.2">
      <c r="A7">
        <v>1</v>
      </c>
      <c r="B7">
        <v>5</v>
      </c>
      <c r="C7">
        <v>6</v>
      </c>
      <c r="D7" t="s">
        <v>18</v>
      </c>
      <c r="J7" s="4" t="b">
        <v>1</v>
      </c>
    </row>
    <row r="8" spans="1:10" x14ac:dyDescent="0.2">
      <c r="A8">
        <v>1</v>
      </c>
      <c r="B8">
        <v>6</v>
      </c>
      <c r="C8">
        <v>7</v>
      </c>
      <c r="D8" t="s">
        <v>18</v>
      </c>
      <c r="J8" s="4" t="b">
        <v>1</v>
      </c>
    </row>
    <row r="9" spans="1:10" x14ac:dyDescent="0.2">
      <c r="A9">
        <v>2</v>
      </c>
      <c r="B9">
        <v>7</v>
      </c>
      <c r="C9">
        <v>8</v>
      </c>
      <c r="D9" t="s">
        <v>18</v>
      </c>
      <c r="J9" s="4" t="b">
        <v>1</v>
      </c>
    </row>
    <row r="10" spans="1:10" x14ac:dyDescent="0.2">
      <c r="A10">
        <v>2</v>
      </c>
      <c r="B10">
        <v>8</v>
      </c>
      <c r="C10">
        <v>9</v>
      </c>
      <c r="D10" t="s">
        <v>18</v>
      </c>
      <c r="J10" s="4" t="b">
        <v>1</v>
      </c>
    </row>
    <row r="11" spans="1:10" x14ac:dyDescent="0.2">
      <c r="A11">
        <v>2</v>
      </c>
      <c r="B11">
        <v>9</v>
      </c>
      <c r="C11">
        <v>10</v>
      </c>
      <c r="D11" t="s">
        <v>18</v>
      </c>
      <c r="J11" s="4" t="b">
        <v>1</v>
      </c>
    </row>
    <row r="12" spans="1:10" x14ac:dyDescent="0.2">
      <c r="A12">
        <v>2</v>
      </c>
      <c r="B12">
        <v>10</v>
      </c>
      <c r="C12">
        <v>11</v>
      </c>
      <c r="D12" t="s">
        <v>18</v>
      </c>
      <c r="J12" s="4" t="b">
        <v>1</v>
      </c>
    </row>
    <row r="13" spans="1:10" x14ac:dyDescent="0.2">
      <c r="A13">
        <v>2</v>
      </c>
      <c r="B13">
        <v>11</v>
      </c>
      <c r="C13">
        <v>12</v>
      </c>
      <c r="D13" t="s">
        <v>16</v>
      </c>
      <c r="J13" s="4" t="b">
        <v>1</v>
      </c>
    </row>
    <row r="14" spans="1:10" x14ac:dyDescent="0.2">
      <c r="A14">
        <v>2</v>
      </c>
      <c r="B14">
        <v>12</v>
      </c>
      <c r="C14">
        <v>13</v>
      </c>
      <c r="D14" t="s">
        <v>16</v>
      </c>
      <c r="J14" s="4" t="b">
        <v>1</v>
      </c>
    </row>
    <row r="15" spans="1:10" x14ac:dyDescent="0.2">
      <c r="A15">
        <v>2</v>
      </c>
      <c r="B15">
        <v>13</v>
      </c>
      <c r="C15">
        <v>14</v>
      </c>
      <c r="D15" t="s">
        <v>16</v>
      </c>
      <c r="J15" s="4" t="b">
        <v>1</v>
      </c>
    </row>
    <row r="16" spans="1:10" x14ac:dyDescent="0.2">
      <c r="A16">
        <v>2</v>
      </c>
      <c r="B16">
        <v>14</v>
      </c>
      <c r="C16">
        <v>15</v>
      </c>
      <c r="D16" t="s">
        <v>16</v>
      </c>
      <c r="J16" s="4" t="b">
        <v>1</v>
      </c>
    </row>
    <row r="17" spans="1:10" x14ac:dyDescent="0.2">
      <c r="A17">
        <v>3</v>
      </c>
      <c r="C17">
        <v>16</v>
      </c>
      <c r="D17" t="s">
        <v>16</v>
      </c>
      <c r="J17" s="4" t="b">
        <v>1</v>
      </c>
    </row>
    <row r="18" spans="1:10" x14ac:dyDescent="0.2">
      <c r="A18">
        <v>3</v>
      </c>
      <c r="B18">
        <v>15</v>
      </c>
      <c r="C18">
        <v>17</v>
      </c>
      <c r="D18" t="s">
        <v>16</v>
      </c>
      <c r="E18" t="s">
        <v>58</v>
      </c>
      <c r="J18" s="4" t="b">
        <v>1</v>
      </c>
    </row>
    <row r="19" spans="1:10" x14ac:dyDescent="0.2">
      <c r="A19">
        <v>3</v>
      </c>
      <c r="B19">
        <v>16</v>
      </c>
      <c r="C19">
        <v>18</v>
      </c>
      <c r="D19" t="s">
        <v>16</v>
      </c>
      <c r="E19" t="s">
        <v>58</v>
      </c>
      <c r="J19" s="4" t="b">
        <v>1</v>
      </c>
    </row>
    <row r="20" spans="1:10" x14ac:dyDescent="0.2">
      <c r="A20">
        <v>3</v>
      </c>
      <c r="B20">
        <v>17</v>
      </c>
      <c r="C20">
        <v>19</v>
      </c>
      <c r="D20" t="s">
        <v>16</v>
      </c>
      <c r="E20" t="s">
        <v>58</v>
      </c>
      <c r="J20" s="4" t="b">
        <v>1</v>
      </c>
    </row>
    <row r="21" spans="1:10" x14ac:dyDescent="0.2">
      <c r="A21">
        <v>3</v>
      </c>
      <c r="B21">
        <v>18</v>
      </c>
      <c r="C21">
        <v>20</v>
      </c>
      <c r="D21" t="s">
        <v>16</v>
      </c>
      <c r="E21" t="s">
        <v>58</v>
      </c>
      <c r="J21" s="4" t="b">
        <v>1</v>
      </c>
    </row>
    <row r="22" spans="1:10" x14ac:dyDescent="0.2">
      <c r="A22">
        <v>3</v>
      </c>
      <c r="B22">
        <v>19</v>
      </c>
      <c r="C22">
        <v>21</v>
      </c>
      <c r="D22" t="s">
        <v>16</v>
      </c>
      <c r="E22" t="s">
        <v>58</v>
      </c>
      <c r="J22" s="4" t="b">
        <v>1</v>
      </c>
    </row>
    <row r="23" spans="1:10" x14ac:dyDescent="0.2">
      <c r="A23">
        <v>4</v>
      </c>
      <c r="B23">
        <v>20</v>
      </c>
      <c r="C23">
        <v>22</v>
      </c>
      <c r="D23" t="s">
        <v>16</v>
      </c>
      <c r="J23" s="4" t="b">
        <v>1</v>
      </c>
    </row>
    <row r="24" spans="1:10" x14ac:dyDescent="0.2">
      <c r="A24">
        <v>4</v>
      </c>
      <c r="B24">
        <v>21</v>
      </c>
      <c r="C24">
        <v>23</v>
      </c>
      <c r="D24" t="s">
        <v>16</v>
      </c>
      <c r="E24" t="s">
        <v>58</v>
      </c>
      <c r="J24" s="4" t="b">
        <v>1</v>
      </c>
    </row>
    <row r="25" spans="1:10" x14ac:dyDescent="0.2">
      <c r="A25">
        <v>4</v>
      </c>
      <c r="B25">
        <v>22</v>
      </c>
      <c r="C25">
        <v>24</v>
      </c>
      <c r="D25" t="s">
        <v>16</v>
      </c>
      <c r="J25" s="4" t="b">
        <v>1</v>
      </c>
    </row>
    <row r="26" spans="1:10" x14ac:dyDescent="0.2">
      <c r="A26">
        <v>4</v>
      </c>
      <c r="B26">
        <v>23</v>
      </c>
      <c r="C26">
        <v>25</v>
      </c>
      <c r="D26" t="s">
        <v>16</v>
      </c>
      <c r="J26" s="4" t="b">
        <v>1</v>
      </c>
    </row>
    <row r="27" spans="1:10" x14ac:dyDescent="0.2">
      <c r="A27">
        <v>4</v>
      </c>
      <c r="B27">
        <v>24</v>
      </c>
      <c r="C27">
        <v>26</v>
      </c>
      <c r="D27" t="s">
        <v>16</v>
      </c>
      <c r="E27" t="s">
        <v>58</v>
      </c>
      <c r="J27" s="4" t="b">
        <v>1</v>
      </c>
    </row>
    <row r="28" spans="1:10" x14ac:dyDescent="0.2">
      <c r="A28">
        <v>4</v>
      </c>
      <c r="B28">
        <v>25</v>
      </c>
      <c r="C28">
        <v>27</v>
      </c>
      <c r="D28" t="s">
        <v>16</v>
      </c>
      <c r="J28" s="4" t="b">
        <v>1</v>
      </c>
    </row>
    <row r="29" spans="1:10" x14ac:dyDescent="0.2">
      <c r="A29">
        <v>4</v>
      </c>
      <c r="B29">
        <v>26</v>
      </c>
      <c r="C29">
        <v>28</v>
      </c>
      <c r="D29" t="s">
        <v>18</v>
      </c>
      <c r="J29" s="4" t="b">
        <v>1</v>
      </c>
    </row>
    <row r="30" spans="1:10" x14ac:dyDescent="0.2">
      <c r="A30">
        <v>4</v>
      </c>
      <c r="B30">
        <v>27</v>
      </c>
      <c r="C30">
        <v>29</v>
      </c>
      <c r="D30" t="s">
        <v>18</v>
      </c>
      <c r="J30" s="4" t="b">
        <v>1</v>
      </c>
    </row>
    <row r="31" spans="1:10" x14ac:dyDescent="0.2">
      <c r="A31">
        <v>5</v>
      </c>
      <c r="B31">
        <v>28</v>
      </c>
      <c r="C31">
        <v>30</v>
      </c>
      <c r="D31" t="s">
        <v>18</v>
      </c>
      <c r="J31" s="4" t="b">
        <v>1</v>
      </c>
    </row>
    <row r="32" spans="1:10" x14ac:dyDescent="0.2">
      <c r="A32">
        <v>5</v>
      </c>
      <c r="B32">
        <v>29</v>
      </c>
      <c r="C32">
        <v>31</v>
      </c>
      <c r="D32" t="s">
        <v>18</v>
      </c>
      <c r="J32" s="4" t="b">
        <v>1</v>
      </c>
    </row>
    <row r="33" spans="1:10" x14ac:dyDescent="0.2">
      <c r="A33">
        <v>5</v>
      </c>
      <c r="B33">
        <v>30</v>
      </c>
      <c r="C33">
        <v>32</v>
      </c>
      <c r="D33" t="s">
        <v>18</v>
      </c>
      <c r="J33" s="4" t="b">
        <v>1</v>
      </c>
    </row>
    <row r="34" spans="1:10" x14ac:dyDescent="0.2">
      <c r="A34">
        <v>5</v>
      </c>
      <c r="B34">
        <v>31</v>
      </c>
      <c r="C34">
        <v>33</v>
      </c>
      <c r="D34" t="s">
        <v>18</v>
      </c>
      <c r="J34" s="4" t="b">
        <v>1</v>
      </c>
    </row>
    <row r="35" spans="1:10" x14ac:dyDescent="0.2">
      <c r="A35">
        <v>5</v>
      </c>
      <c r="B35">
        <v>32</v>
      </c>
      <c r="C35">
        <v>34</v>
      </c>
      <c r="D35" t="s">
        <v>18</v>
      </c>
      <c r="J35" s="4" t="b">
        <v>1</v>
      </c>
    </row>
    <row r="36" spans="1:10" x14ac:dyDescent="0.2">
      <c r="A36">
        <v>5</v>
      </c>
      <c r="B36">
        <v>33</v>
      </c>
      <c r="C36">
        <v>35</v>
      </c>
      <c r="D36" t="s">
        <v>18</v>
      </c>
      <c r="J36" s="4" t="b">
        <v>1</v>
      </c>
    </row>
    <row r="37" spans="1:10" x14ac:dyDescent="0.2">
      <c r="A37">
        <v>5</v>
      </c>
      <c r="B37">
        <v>34</v>
      </c>
      <c r="C37">
        <v>36</v>
      </c>
      <c r="D37" t="s">
        <v>11</v>
      </c>
      <c r="J37" s="4" t="b">
        <v>1</v>
      </c>
    </row>
    <row r="38" spans="1:10" x14ac:dyDescent="0.2">
      <c r="A38">
        <v>6</v>
      </c>
      <c r="B38">
        <v>35</v>
      </c>
      <c r="C38">
        <v>37</v>
      </c>
      <c r="D38" t="s">
        <v>18</v>
      </c>
      <c r="J38" s="4" t="b">
        <v>1</v>
      </c>
    </row>
    <row r="39" spans="1:10" x14ac:dyDescent="0.2">
      <c r="A39">
        <v>6</v>
      </c>
      <c r="B39">
        <v>36</v>
      </c>
      <c r="C39">
        <v>38</v>
      </c>
      <c r="D39" t="s">
        <v>18</v>
      </c>
      <c r="J39" s="4" t="b">
        <v>1</v>
      </c>
    </row>
    <row r="40" spans="1:10" x14ac:dyDescent="0.2">
      <c r="A40">
        <v>6</v>
      </c>
      <c r="B40">
        <v>37</v>
      </c>
      <c r="C40">
        <v>39</v>
      </c>
      <c r="D40" t="s">
        <v>20</v>
      </c>
      <c r="J40" s="4" t="b">
        <v>1</v>
      </c>
    </row>
    <row r="41" spans="1:10" x14ac:dyDescent="0.2">
      <c r="A41">
        <v>6</v>
      </c>
      <c r="B41">
        <v>38</v>
      </c>
      <c r="C41">
        <v>40</v>
      </c>
      <c r="D41" t="s">
        <v>18</v>
      </c>
      <c r="J41" s="4" t="b">
        <v>1</v>
      </c>
    </row>
    <row r="42" spans="1:10" x14ac:dyDescent="0.2">
      <c r="A42">
        <v>6</v>
      </c>
      <c r="B42">
        <v>39</v>
      </c>
      <c r="C42">
        <v>41</v>
      </c>
      <c r="D42" t="s">
        <v>18</v>
      </c>
      <c r="J42" s="4" t="b">
        <v>1</v>
      </c>
    </row>
    <row r="43" spans="1:10" x14ac:dyDescent="0.2">
      <c r="A43">
        <v>6</v>
      </c>
      <c r="B43">
        <v>40</v>
      </c>
      <c r="C43">
        <v>42</v>
      </c>
      <c r="D43" t="s">
        <v>20</v>
      </c>
      <c r="J43" s="4" t="b">
        <v>1</v>
      </c>
    </row>
    <row r="44" spans="1:10" x14ac:dyDescent="0.2">
      <c r="A44">
        <v>6</v>
      </c>
      <c r="B44">
        <v>41</v>
      </c>
      <c r="C44">
        <v>43</v>
      </c>
      <c r="D44" t="s">
        <v>18</v>
      </c>
      <c r="J44" s="4" t="b">
        <v>1</v>
      </c>
    </row>
    <row r="45" spans="1:10" x14ac:dyDescent="0.2">
      <c r="A45">
        <v>7</v>
      </c>
      <c r="B45">
        <v>42</v>
      </c>
      <c r="C45">
        <v>44</v>
      </c>
      <c r="D45" t="s">
        <v>18</v>
      </c>
      <c r="J45" s="4" t="b">
        <v>1</v>
      </c>
    </row>
    <row r="46" spans="1:10" x14ac:dyDescent="0.2">
      <c r="A46">
        <v>7</v>
      </c>
      <c r="B46">
        <v>43</v>
      </c>
      <c r="C46">
        <v>45</v>
      </c>
      <c r="D46" t="s">
        <v>20</v>
      </c>
      <c r="J46" s="4" t="b">
        <v>1</v>
      </c>
    </row>
    <row r="47" spans="1:10" x14ac:dyDescent="0.2">
      <c r="A47">
        <v>7</v>
      </c>
      <c r="B47">
        <v>44</v>
      </c>
      <c r="C47">
        <v>46</v>
      </c>
      <c r="D47" t="s">
        <v>18</v>
      </c>
      <c r="J47" s="4" t="b">
        <v>1</v>
      </c>
    </row>
    <row r="48" spans="1:10" x14ac:dyDescent="0.2">
      <c r="A48">
        <v>7</v>
      </c>
      <c r="B48">
        <v>45</v>
      </c>
      <c r="C48">
        <v>47</v>
      </c>
      <c r="D48" t="s">
        <v>18</v>
      </c>
      <c r="J48" s="4" t="b">
        <v>1</v>
      </c>
    </row>
    <row r="49" spans="1:10" x14ac:dyDescent="0.2">
      <c r="A49">
        <v>7</v>
      </c>
      <c r="B49">
        <v>46</v>
      </c>
      <c r="C49">
        <v>48</v>
      </c>
      <c r="D49" t="s">
        <v>18</v>
      </c>
      <c r="J49" s="4" t="b">
        <v>1</v>
      </c>
    </row>
    <row r="50" spans="1:10" x14ac:dyDescent="0.2">
      <c r="A50">
        <v>7</v>
      </c>
      <c r="B50">
        <v>47</v>
      </c>
      <c r="C50">
        <v>49</v>
      </c>
      <c r="D50" t="s">
        <v>18</v>
      </c>
      <c r="J50" s="4" t="b">
        <v>1</v>
      </c>
    </row>
    <row r="51" spans="1:10" x14ac:dyDescent="0.2">
      <c r="A51">
        <v>7</v>
      </c>
      <c r="B51">
        <v>48</v>
      </c>
      <c r="C51">
        <v>50</v>
      </c>
      <c r="D51" t="s">
        <v>18</v>
      </c>
      <c r="J51" s="4" t="b">
        <v>1</v>
      </c>
    </row>
    <row r="52" spans="1:10" x14ac:dyDescent="0.2">
      <c r="A52">
        <v>7</v>
      </c>
      <c r="B52">
        <v>49</v>
      </c>
      <c r="C52">
        <v>51</v>
      </c>
      <c r="D52" t="s">
        <v>18</v>
      </c>
      <c r="J52" s="4" t="b">
        <v>1</v>
      </c>
    </row>
    <row r="53" spans="1:10" x14ac:dyDescent="0.2">
      <c r="A53">
        <v>8</v>
      </c>
      <c r="B53">
        <v>50</v>
      </c>
      <c r="C53">
        <v>52</v>
      </c>
      <c r="D53" t="s">
        <v>18</v>
      </c>
      <c r="J53" s="4" t="b">
        <v>1</v>
      </c>
    </row>
    <row r="54" spans="1:10" x14ac:dyDescent="0.2">
      <c r="A54">
        <v>8</v>
      </c>
      <c r="B54">
        <v>51</v>
      </c>
      <c r="C54">
        <v>53</v>
      </c>
      <c r="D54" t="s">
        <v>20</v>
      </c>
      <c r="F54" t="s">
        <v>53</v>
      </c>
      <c r="J54" s="4" t="b">
        <v>1</v>
      </c>
    </row>
    <row r="55" spans="1:10" x14ac:dyDescent="0.2">
      <c r="A55">
        <v>8</v>
      </c>
      <c r="B55">
        <v>52</v>
      </c>
      <c r="C55">
        <v>54</v>
      </c>
      <c r="D55" t="s">
        <v>18</v>
      </c>
      <c r="J55" s="4" t="b">
        <v>1</v>
      </c>
    </row>
    <row r="56" spans="1:10" x14ac:dyDescent="0.2">
      <c r="A56">
        <v>8</v>
      </c>
      <c r="B56">
        <v>53</v>
      </c>
      <c r="C56">
        <v>55</v>
      </c>
      <c r="D56" t="s">
        <v>23</v>
      </c>
      <c r="J56" s="4" t="b">
        <v>1</v>
      </c>
    </row>
    <row r="57" spans="1:10" x14ac:dyDescent="0.2">
      <c r="A57">
        <v>8</v>
      </c>
      <c r="B57">
        <v>54</v>
      </c>
      <c r="C57">
        <v>56</v>
      </c>
      <c r="D57" t="s">
        <v>23</v>
      </c>
      <c r="J57" s="4" t="b">
        <v>1</v>
      </c>
    </row>
    <row r="58" spans="1:10" x14ac:dyDescent="0.2">
      <c r="A58">
        <v>8</v>
      </c>
      <c r="B58">
        <v>55</v>
      </c>
      <c r="C58">
        <v>57</v>
      </c>
      <c r="D58" t="s">
        <v>23</v>
      </c>
      <c r="J58" s="4" t="b">
        <v>1</v>
      </c>
    </row>
    <row r="59" spans="1:10" x14ac:dyDescent="0.2">
      <c r="A59">
        <v>8</v>
      </c>
      <c r="B59">
        <v>56</v>
      </c>
      <c r="C59">
        <v>58</v>
      </c>
      <c r="D59" t="s">
        <v>18</v>
      </c>
      <c r="J59" s="4" t="b">
        <v>1</v>
      </c>
    </row>
    <row r="60" spans="1:10" x14ac:dyDescent="0.2">
      <c r="A60">
        <v>8</v>
      </c>
      <c r="B60">
        <v>57</v>
      </c>
      <c r="C60">
        <v>59</v>
      </c>
      <c r="D60" t="s">
        <v>60</v>
      </c>
      <c r="J60" s="4" t="b">
        <v>1</v>
      </c>
    </row>
    <row r="61" spans="1:10" x14ac:dyDescent="0.2">
      <c r="A61">
        <v>9</v>
      </c>
      <c r="B61">
        <v>58</v>
      </c>
      <c r="C61">
        <v>60</v>
      </c>
      <c r="D61" t="s">
        <v>18</v>
      </c>
      <c r="J61" s="4" t="b">
        <v>1</v>
      </c>
    </row>
    <row r="62" spans="1:10" x14ac:dyDescent="0.2">
      <c r="A62">
        <v>9</v>
      </c>
      <c r="B62">
        <v>59</v>
      </c>
      <c r="C62">
        <v>61</v>
      </c>
      <c r="D62" t="s">
        <v>18</v>
      </c>
      <c r="J62" s="4" t="b">
        <v>1</v>
      </c>
    </row>
    <row r="63" spans="1:10" x14ac:dyDescent="0.2">
      <c r="A63">
        <v>9</v>
      </c>
      <c r="B63">
        <v>60</v>
      </c>
      <c r="C63">
        <v>62</v>
      </c>
      <c r="D63" t="s">
        <v>18</v>
      </c>
      <c r="J63" s="4" t="b">
        <v>1</v>
      </c>
    </row>
    <row r="64" spans="1:10" x14ac:dyDescent="0.2">
      <c r="A64">
        <v>9</v>
      </c>
      <c r="B64">
        <v>61</v>
      </c>
      <c r="C64">
        <v>63</v>
      </c>
      <c r="D64" t="s">
        <v>18</v>
      </c>
      <c r="J64" s="4" t="b">
        <v>1</v>
      </c>
    </row>
    <row r="65" spans="1:10" x14ac:dyDescent="0.2">
      <c r="A65">
        <v>9</v>
      </c>
      <c r="B65">
        <v>62</v>
      </c>
      <c r="C65">
        <v>64</v>
      </c>
      <c r="D65" t="s">
        <v>18</v>
      </c>
      <c r="J65" s="4" t="b">
        <v>1</v>
      </c>
    </row>
    <row r="66" spans="1:10" x14ac:dyDescent="0.2">
      <c r="A66">
        <v>9</v>
      </c>
      <c r="B66">
        <v>63</v>
      </c>
      <c r="C66">
        <v>65</v>
      </c>
      <c r="D66" t="s">
        <v>18</v>
      </c>
      <c r="J66" s="4" t="b">
        <v>1</v>
      </c>
    </row>
    <row r="67" spans="1:10" x14ac:dyDescent="0.2">
      <c r="A67">
        <v>9</v>
      </c>
      <c r="B67">
        <v>64</v>
      </c>
      <c r="C67">
        <v>66</v>
      </c>
      <c r="D67" t="s">
        <v>18</v>
      </c>
      <c r="J67" s="4" t="b">
        <v>1</v>
      </c>
    </row>
    <row r="68" spans="1:10" x14ac:dyDescent="0.2">
      <c r="A68">
        <v>9</v>
      </c>
      <c r="B68">
        <v>65</v>
      </c>
      <c r="C68">
        <v>67</v>
      </c>
      <c r="D68" t="s">
        <v>18</v>
      </c>
      <c r="J68" s="4" t="b">
        <v>1</v>
      </c>
    </row>
    <row r="69" spans="1:10" x14ac:dyDescent="0.2">
      <c r="A69">
        <v>10</v>
      </c>
      <c r="B69">
        <v>66</v>
      </c>
      <c r="C69">
        <v>68</v>
      </c>
      <c r="D69" t="s">
        <v>18</v>
      </c>
      <c r="J69" s="4" t="b">
        <v>1</v>
      </c>
    </row>
    <row r="70" spans="1:10" x14ac:dyDescent="0.2">
      <c r="A70">
        <v>10</v>
      </c>
      <c r="B70">
        <v>67</v>
      </c>
      <c r="C70">
        <v>69</v>
      </c>
      <c r="D70" t="s">
        <v>18</v>
      </c>
      <c r="J70" s="4" t="b">
        <v>1</v>
      </c>
    </row>
    <row r="71" spans="1:10" x14ac:dyDescent="0.2">
      <c r="A71">
        <v>10</v>
      </c>
      <c r="B71">
        <v>68</v>
      </c>
      <c r="C71">
        <v>70</v>
      </c>
      <c r="D71" t="s">
        <v>18</v>
      </c>
      <c r="J71" s="4" t="b">
        <v>1</v>
      </c>
    </row>
    <row r="72" spans="1:10" x14ac:dyDescent="0.2">
      <c r="A72">
        <v>10</v>
      </c>
      <c r="B72">
        <v>69</v>
      </c>
      <c r="C72">
        <v>71</v>
      </c>
      <c r="D72" t="s">
        <v>18</v>
      </c>
      <c r="J72" s="4" t="b">
        <v>1</v>
      </c>
    </row>
    <row r="73" spans="1:10" x14ac:dyDescent="0.2">
      <c r="A73">
        <v>10</v>
      </c>
      <c r="B73">
        <v>70</v>
      </c>
      <c r="C73">
        <v>72</v>
      </c>
      <c r="D73" t="s">
        <v>18</v>
      </c>
      <c r="J73" s="4" t="b">
        <v>1</v>
      </c>
    </row>
    <row r="74" spans="1:10" x14ac:dyDescent="0.2">
      <c r="A74">
        <v>10</v>
      </c>
      <c r="B74">
        <v>71</v>
      </c>
      <c r="C74">
        <v>73</v>
      </c>
      <c r="D74" t="s">
        <v>18</v>
      </c>
      <c r="J74" s="4" t="b">
        <v>1</v>
      </c>
    </row>
    <row r="75" spans="1:10" x14ac:dyDescent="0.2">
      <c r="A75">
        <v>10</v>
      </c>
      <c r="B75">
        <v>72</v>
      </c>
      <c r="C75">
        <v>74</v>
      </c>
      <c r="D75" t="s">
        <v>16</v>
      </c>
      <c r="J75" s="4" t="b">
        <v>1</v>
      </c>
    </row>
    <row r="76" spans="1:10" x14ac:dyDescent="0.2">
      <c r="A76">
        <v>10</v>
      </c>
      <c r="B76">
        <v>73</v>
      </c>
      <c r="C76">
        <v>75</v>
      </c>
      <c r="D76" t="s">
        <v>22</v>
      </c>
      <c r="J76" s="4" t="b">
        <v>1</v>
      </c>
    </row>
    <row r="77" spans="1:10" x14ac:dyDescent="0.2">
      <c r="A77">
        <v>11</v>
      </c>
      <c r="B77">
        <v>74</v>
      </c>
      <c r="C77">
        <v>76</v>
      </c>
      <c r="D77" t="s">
        <v>18</v>
      </c>
      <c r="J77" s="4" t="b">
        <v>1</v>
      </c>
    </row>
    <row r="78" spans="1:10" x14ac:dyDescent="0.2">
      <c r="A78">
        <v>11</v>
      </c>
      <c r="B78">
        <v>75</v>
      </c>
      <c r="C78">
        <v>77</v>
      </c>
      <c r="D78" t="s">
        <v>61</v>
      </c>
      <c r="G78" t="s">
        <v>58</v>
      </c>
      <c r="J78" s="4" t="b">
        <v>1</v>
      </c>
    </row>
    <row r="79" spans="1:10" x14ac:dyDescent="0.2">
      <c r="A79">
        <v>11</v>
      </c>
      <c r="B79">
        <v>76</v>
      </c>
      <c r="C79">
        <v>78</v>
      </c>
      <c r="D79" t="s">
        <v>22</v>
      </c>
      <c r="J79" s="4" t="b">
        <v>1</v>
      </c>
    </row>
    <row r="80" spans="1:10" x14ac:dyDescent="0.2">
      <c r="A80">
        <v>11</v>
      </c>
      <c r="B80">
        <v>77</v>
      </c>
      <c r="C80">
        <v>79</v>
      </c>
      <c r="D80" t="s">
        <v>21</v>
      </c>
      <c r="J80" s="4" t="b">
        <v>1</v>
      </c>
    </row>
    <row r="81" spans="1:10" x14ac:dyDescent="0.2">
      <c r="A81">
        <v>11</v>
      </c>
      <c r="B81">
        <v>78</v>
      </c>
      <c r="C81">
        <v>80</v>
      </c>
      <c r="D81" t="s">
        <v>21</v>
      </c>
      <c r="J81" s="4" t="b">
        <v>1</v>
      </c>
    </row>
    <row r="82" spans="1:10" x14ac:dyDescent="0.2">
      <c r="A82">
        <v>11</v>
      </c>
      <c r="B82">
        <v>79</v>
      </c>
      <c r="C82">
        <v>81</v>
      </c>
      <c r="D82" t="s">
        <v>22</v>
      </c>
      <c r="J82" s="4" t="b">
        <v>1</v>
      </c>
    </row>
    <row r="83" spans="1:10" x14ac:dyDescent="0.2">
      <c r="A83">
        <v>11</v>
      </c>
      <c r="B83">
        <v>80</v>
      </c>
      <c r="C83">
        <v>82</v>
      </c>
      <c r="D83" t="s">
        <v>68</v>
      </c>
      <c r="F83" t="s">
        <v>88</v>
      </c>
      <c r="J83" s="4" t="b">
        <v>1</v>
      </c>
    </row>
    <row r="84" spans="1:10" x14ac:dyDescent="0.2">
      <c r="A84">
        <v>11</v>
      </c>
      <c r="B84">
        <v>81</v>
      </c>
      <c r="C84">
        <v>83</v>
      </c>
      <c r="D84" t="s">
        <v>18</v>
      </c>
      <c r="J84" s="4" t="b">
        <v>1</v>
      </c>
    </row>
    <row r="85" spans="1:10" x14ac:dyDescent="0.2">
      <c r="A85">
        <v>11</v>
      </c>
      <c r="B85">
        <v>82</v>
      </c>
      <c r="C85">
        <v>84</v>
      </c>
      <c r="D85" t="s">
        <v>18</v>
      </c>
      <c r="J85" s="4" t="b">
        <v>1</v>
      </c>
    </row>
    <row r="86" spans="1:10" x14ac:dyDescent="0.2">
      <c r="A86">
        <v>12</v>
      </c>
      <c r="B86">
        <v>83</v>
      </c>
      <c r="C86">
        <v>85</v>
      </c>
      <c r="D86" t="s">
        <v>18</v>
      </c>
      <c r="J86" s="4" t="b">
        <v>1</v>
      </c>
    </row>
    <row r="87" spans="1:10" x14ac:dyDescent="0.2">
      <c r="A87">
        <v>12</v>
      </c>
      <c r="B87">
        <v>84</v>
      </c>
      <c r="C87">
        <v>86</v>
      </c>
      <c r="D87" t="s">
        <v>18</v>
      </c>
      <c r="J87" s="4" t="b">
        <v>1</v>
      </c>
    </row>
    <row r="88" spans="1:10" x14ac:dyDescent="0.2">
      <c r="A88">
        <v>12</v>
      </c>
      <c r="B88">
        <v>85</v>
      </c>
      <c r="C88">
        <v>87</v>
      </c>
      <c r="D88" t="s">
        <v>18</v>
      </c>
      <c r="J88" s="4" t="b">
        <v>1</v>
      </c>
    </row>
    <row r="89" spans="1:10" x14ac:dyDescent="0.2">
      <c r="A89">
        <v>12</v>
      </c>
      <c r="B89">
        <v>86</v>
      </c>
      <c r="C89">
        <v>88</v>
      </c>
      <c r="D89" t="s">
        <v>18</v>
      </c>
      <c r="J89" s="4" t="b">
        <v>1</v>
      </c>
    </row>
    <row r="90" spans="1:10" x14ac:dyDescent="0.2">
      <c r="A90">
        <v>12</v>
      </c>
      <c r="B90">
        <v>87</v>
      </c>
      <c r="C90">
        <v>89</v>
      </c>
      <c r="D90" t="s">
        <v>23</v>
      </c>
      <c r="F90" t="s">
        <v>4</v>
      </c>
      <c r="J90" s="4" t="b">
        <v>1</v>
      </c>
    </row>
    <row r="91" spans="1:10" x14ac:dyDescent="0.2">
      <c r="A91">
        <v>12</v>
      </c>
      <c r="B91">
        <v>88</v>
      </c>
      <c r="C91">
        <v>90</v>
      </c>
      <c r="D91" t="s">
        <v>18</v>
      </c>
      <c r="J91" s="4" t="b">
        <v>1</v>
      </c>
    </row>
    <row r="92" spans="1:10" x14ac:dyDescent="0.2">
      <c r="A92">
        <v>12</v>
      </c>
      <c r="B92">
        <v>89</v>
      </c>
      <c r="C92">
        <v>91</v>
      </c>
      <c r="D92" t="s">
        <v>5</v>
      </c>
      <c r="J92" s="4" t="b">
        <v>1</v>
      </c>
    </row>
    <row r="93" spans="1:10" x14ac:dyDescent="0.2">
      <c r="A93">
        <v>12</v>
      </c>
      <c r="B93">
        <v>90</v>
      </c>
      <c r="C93">
        <v>92</v>
      </c>
      <c r="D93" t="s">
        <v>16</v>
      </c>
      <c r="J93" s="4" t="b">
        <v>1</v>
      </c>
    </row>
    <row r="94" spans="1:10" x14ac:dyDescent="0.2">
      <c r="A94">
        <v>13</v>
      </c>
      <c r="B94">
        <v>91</v>
      </c>
      <c r="C94">
        <v>93</v>
      </c>
      <c r="D94" t="s">
        <v>5</v>
      </c>
      <c r="J94" s="4" t="b">
        <v>1</v>
      </c>
    </row>
    <row r="95" spans="1:10" x14ac:dyDescent="0.2">
      <c r="A95">
        <v>13</v>
      </c>
      <c r="B95">
        <v>92</v>
      </c>
      <c r="C95">
        <v>94</v>
      </c>
      <c r="D95" t="s">
        <v>5</v>
      </c>
      <c r="J95" s="4" t="b">
        <v>1</v>
      </c>
    </row>
    <row r="96" spans="1:10" x14ac:dyDescent="0.2">
      <c r="A96">
        <v>13</v>
      </c>
      <c r="B96">
        <v>93</v>
      </c>
      <c r="C96">
        <v>95</v>
      </c>
      <c r="D96" t="s">
        <v>5</v>
      </c>
      <c r="J96" s="4" t="b">
        <v>1</v>
      </c>
    </row>
    <row r="97" spans="1:10" x14ac:dyDescent="0.2">
      <c r="A97">
        <v>13</v>
      </c>
      <c r="B97">
        <v>94</v>
      </c>
      <c r="C97">
        <v>96</v>
      </c>
      <c r="D97" t="s">
        <v>16</v>
      </c>
      <c r="J97" s="4" t="b">
        <v>1</v>
      </c>
    </row>
    <row r="98" spans="1:10" x14ac:dyDescent="0.2">
      <c r="A98">
        <v>13</v>
      </c>
      <c r="B98">
        <v>95</v>
      </c>
      <c r="C98">
        <v>97</v>
      </c>
      <c r="D98" t="s">
        <v>16</v>
      </c>
      <c r="J98" s="4" t="b">
        <v>1</v>
      </c>
    </row>
    <row r="99" spans="1:10" x14ac:dyDescent="0.2">
      <c r="A99">
        <v>13</v>
      </c>
      <c r="B99">
        <v>96</v>
      </c>
      <c r="C99">
        <v>98</v>
      </c>
      <c r="D99" t="s">
        <v>16</v>
      </c>
      <c r="J99" s="4" t="b">
        <v>1</v>
      </c>
    </row>
    <row r="100" spans="1:10" x14ac:dyDescent="0.2">
      <c r="A100">
        <v>13</v>
      </c>
      <c r="B100">
        <v>97</v>
      </c>
      <c r="C100">
        <v>99</v>
      </c>
      <c r="D100" t="s">
        <v>16</v>
      </c>
      <c r="J100" s="4" t="b">
        <v>1</v>
      </c>
    </row>
    <row r="101" spans="1:10" x14ac:dyDescent="0.2">
      <c r="A101">
        <v>13</v>
      </c>
      <c r="B101">
        <v>98</v>
      </c>
      <c r="C101">
        <v>100</v>
      </c>
      <c r="D101" t="s">
        <v>20</v>
      </c>
      <c r="F101" t="s">
        <v>109</v>
      </c>
      <c r="I101" t="s">
        <v>58</v>
      </c>
      <c r="J101" s="4" t="b">
        <v>1</v>
      </c>
    </row>
    <row r="102" spans="1:10" x14ac:dyDescent="0.2">
      <c r="A102">
        <v>13</v>
      </c>
      <c r="B102">
        <v>99</v>
      </c>
      <c r="C102">
        <v>101</v>
      </c>
      <c r="D102" t="s">
        <v>23</v>
      </c>
      <c r="F102" t="s">
        <v>6</v>
      </c>
      <c r="G102" t="s">
        <v>58</v>
      </c>
      <c r="J102" s="4" t="b">
        <v>1</v>
      </c>
    </row>
    <row r="103" spans="1:10" x14ac:dyDescent="0.2">
      <c r="A103">
        <v>13</v>
      </c>
      <c r="B103">
        <v>99</v>
      </c>
      <c r="C103">
        <v>101</v>
      </c>
      <c r="D103" t="s">
        <v>23</v>
      </c>
      <c r="F103" t="s">
        <v>6</v>
      </c>
      <c r="G103" t="s">
        <v>58</v>
      </c>
      <c r="J103" s="4" t="b">
        <v>1</v>
      </c>
    </row>
    <row r="104" spans="1:10" x14ac:dyDescent="0.2">
      <c r="A104">
        <v>14</v>
      </c>
      <c r="B104">
        <v>100</v>
      </c>
      <c r="C104">
        <v>102</v>
      </c>
      <c r="D104" t="s">
        <v>18</v>
      </c>
      <c r="J104" s="4" t="b">
        <v>1</v>
      </c>
    </row>
    <row r="105" spans="1:10" x14ac:dyDescent="0.2">
      <c r="A105">
        <v>14</v>
      </c>
      <c r="B105">
        <v>101</v>
      </c>
      <c r="C105">
        <v>103</v>
      </c>
      <c r="D105" t="s">
        <v>18</v>
      </c>
      <c r="J105" s="4" t="b">
        <v>1</v>
      </c>
    </row>
    <row r="106" spans="1:10" x14ac:dyDescent="0.2">
      <c r="A106">
        <v>14</v>
      </c>
      <c r="B106">
        <v>102</v>
      </c>
      <c r="C106">
        <v>104</v>
      </c>
      <c r="D106" t="s">
        <v>18</v>
      </c>
      <c r="J106" s="4" t="b">
        <v>1</v>
      </c>
    </row>
    <row r="107" spans="1:10" x14ac:dyDescent="0.2">
      <c r="A107">
        <v>14</v>
      </c>
      <c r="B107">
        <v>103</v>
      </c>
      <c r="C107">
        <v>105</v>
      </c>
      <c r="D107" t="s">
        <v>18</v>
      </c>
      <c r="J107" s="4" t="b">
        <v>1</v>
      </c>
    </row>
    <row r="108" spans="1:10" x14ac:dyDescent="0.2">
      <c r="A108">
        <v>14</v>
      </c>
      <c r="B108">
        <v>104</v>
      </c>
      <c r="C108">
        <v>106</v>
      </c>
      <c r="D108" t="s">
        <v>18</v>
      </c>
      <c r="J108" s="4" t="b">
        <v>1</v>
      </c>
    </row>
    <row r="109" spans="1:10" x14ac:dyDescent="0.2">
      <c r="A109">
        <v>14</v>
      </c>
      <c r="B109">
        <v>105</v>
      </c>
      <c r="C109">
        <v>107</v>
      </c>
      <c r="D109" t="s">
        <v>18</v>
      </c>
      <c r="J109" s="4" t="b">
        <v>1</v>
      </c>
    </row>
    <row r="110" spans="1:10" x14ac:dyDescent="0.2">
      <c r="A110">
        <v>14</v>
      </c>
      <c r="B110">
        <v>106</v>
      </c>
      <c r="C110">
        <v>108</v>
      </c>
      <c r="D110" t="s">
        <v>18</v>
      </c>
      <c r="J110" s="4" t="b">
        <v>1</v>
      </c>
    </row>
    <row r="111" spans="1:10" x14ac:dyDescent="0.2">
      <c r="A111">
        <v>14</v>
      </c>
      <c r="B111">
        <v>107</v>
      </c>
      <c r="C111">
        <v>109</v>
      </c>
      <c r="D111" t="s">
        <v>18</v>
      </c>
      <c r="J111" s="4" t="b">
        <v>1</v>
      </c>
    </row>
    <row r="112" spans="1:10" x14ac:dyDescent="0.2">
      <c r="A112">
        <v>15</v>
      </c>
      <c r="B112">
        <v>118</v>
      </c>
      <c r="C112">
        <v>110</v>
      </c>
      <c r="D112" t="s">
        <v>18</v>
      </c>
      <c r="J112" s="4" t="b">
        <v>1</v>
      </c>
    </row>
    <row r="113" spans="1:10" x14ac:dyDescent="0.2">
      <c r="A113">
        <v>15</v>
      </c>
      <c r="B113">
        <v>109</v>
      </c>
      <c r="C113">
        <v>111</v>
      </c>
      <c r="D113" t="s">
        <v>18</v>
      </c>
      <c r="J113" s="4" t="b">
        <v>1</v>
      </c>
    </row>
    <row r="114" spans="1:10" x14ac:dyDescent="0.2">
      <c r="A114">
        <v>15</v>
      </c>
      <c r="B114">
        <v>110</v>
      </c>
      <c r="C114">
        <v>112</v>
      </c>
      <c r="D114" t="s">
        <v>18</v>
      </c>
      <c r="J114" s="4" t="b">
        <v>1</v>
      </c>
    </row>
    <row r="115" spans="1:10" x14ac:dyDescent="0.2">
      <c r="A115">
        <v>15</v>
      </c>
      <c r="B115">
        <v>111</v>
      </c>
      <c r="C115">
        <v>113</v>
      </c>
      <c r="D115" t="s">
        <v>18</v>
      </c>
      <c r="J115" s="4" t="b">
        <v>1</v>
      </c>
    </row>
    <row r="116" spans="1:10" x14ac:dyDescent="0.2">
      <c r="A116">
        <v>15</v>
      </c>
      <c r="B116">
        <v>112</v>
      </c>
      <c r="C116">
        <v>114</v>
      </c>
      <c r="D116" t="s">
        <v>18</v>
      </c>
      <c r="J116" s="4" t="b">
        <v>1</v>
      </c>
    </row>
    <row r="117" spans="1:10" x14ac:dyDescent="0.2">
      <c r="A117">
        <v>15</v>
      </c>
      <c r="B117">
        <v>113</v>
      </c>
      <c r="C117">
        <v>115</v>
      </c>
      <c r="D117" t="s">
        <v>18</v>
      </c>
      <c r="J117" s="4" t="b">
        <v>1</v>
      </c>
    </row>
    <row r="118" spans="1:10" x14ac:dyDescent="0.2">
      <c r="A118">
        <v>15</v>
      </c>
      <c r="B118">
        <v>114</v>
      </c>
      <c r="C118">
        <v>116</v>
      </c>
      <c r="D118" t="s">
        <v>18</v>
      </c>
      <c r="J118" s="4" t="b">
        <v>1</v>
      </c>
    </row>
    <row r="119" spans="1:10" x14ac:dyDescent="0.2">
      <c r="A119">
        <v>15</v>
      </c>
      <c r="B119">
        <v>115</v>
      </c>
      <c r="C119">
        <v>117</v>
      </c>
      <c r="D119" t="s">
        <v>18</v>
      </c>
      <c r="J119" s="4" t="b">
        <v>1</v>
      </c>
    </row>
    <row r="120" spans="1:10" x14ac:dyDescent="0.2">
      <c r="A120">
        <v>16</v>
      </c>
      <c r="B120">
        <v>116</v>
      </c>
      <c r="C120">
        <v>118</v>
      </c>
      <c r="D120" t="s">
        <v>18</v>
      </c>
      <c r="J120" s="4" t="b">
        <v>1</v>
      </c>
    </row>
    <row r="121" spans="1:10" x14ac:dyDescent="0.2">
      <c r="A121">
        <v>16</v>
      </c>
      <c r="B121">
        <v>117</v>
      </c>
      <c r="C121">
        <v>119</v>
      </c>
      <c r="D121" t="s">
        <v>18</v>
      </c>
      <c r="J121" s="4" t="b">
        <v>1</v>
      </c>
    </row>
    <row r="122" spans="1:10" x14ac:dyDescent="0.2">
      <c r="A122">
        <v>16</v>
      </c>
      <c r="B122">
        <v>108</v>
      </c>
      <c r="C122">
        <v>120</v>
      </c>
      <c r="D122" t="s">
        <v>18</v>
      </c>
      <c r="J122" s="4" t="b">
        <v>1</v>
      </c>
    </row>
    <row r="123" spans="1:10" x14ac:dyDescent="0.2">
      <c r="A123">
        <v>16</v>
      </c>
      <c r="B123">
        <v>121</v>
      </c>
      <c r="C123">
        <v>121</v>
      </c>
      <c r="D123" t="s">
        <v>5</v>
      </c>
      <c r="J123" s="4" t="b">
        <v>1</v>
      </c>
    </row>
    <row r="124" spans="1:10" x14ac:dyDescent="0.2">
      <c r="A124">
        <v>16</v>
      </c>
      <c r="B124">
        <v>122</v>
      </c>
      <c r="C124">
        <v>122</v>
      </c>
      <c r="D124" t="s">
        <v>18</v>
      </c>
      <c r="J124" s="4" t="b">
        <v>1</v>
      </c>
    </row>
    <row r="125" spans="1:10" x14ac:dyDescent="0.2">
      <c r="A125">
        <v>16</v>
      </c>
      <c r="B125">
        <v>123</v>
      </c>
      <c r="C125">
        <v>123</v>
      </c>
      <c r="D125" t="s">
        <v>18</v>
      </c>
      <c r="J125" s="4" t="b">
        <v>1</v>
      </c>
    </row>
    <row r="126" spans="1:10" x14ac:dyDescent="0.2">
      <c r="A126">
        <v>16</v>
      </c>
      <c r="B126">
        <v>124</v>
      </c>
      <c r="C126">
        <v>124</v>
      </c>
      <c r="D126" t="s">
        <v>18</v>
      </c>
      <c r="J126" s="4" t="b">
        <v>1</v>
      </c>
    </row>
    <row r="127" spans="1:10" x14ac:dyDescent="0.2">
      <c r="A127">
        <v>16</v>
      </c>
      <c r="B127">
        <v>125</v>
      </c>
      <c r="C127">
        <v>125</v>
      </c>
      <c r="D127" t="s">
        <v>20</v>
      </c>
      <c r="J127" s="4" t="b">
        <v>1</v>
      </c>
    </row>
    <row r="128" spans="1:10" x14ac:dyDescent="0.2">
      <c r="A128">
        <v>17</v>
      </c>
      <c r="C128">
        <v>126</v>
      </c>
      <c r="D128" t="s">
        <v>18</v>
      </c>
      <c r="J128" s="4" t="b">
        <v>1</v>
      </c>
    </row>
    <row r="129" spans="1:10" x14ac:dyDescent="0.2">
      <c r="A129">
        <v>17</v>
      </c>
      <c r="C129">
        <v>127</v>
      </c>
      <c r="D129" t="s">
        <v>18</v>
      </c>
      <c r="J129" s="4" t="b">
        <v>1</v>
      </c>
    </row>
    <row r="130" spans="1:10" x14ac:dyDescent="0.2">
      <c r="A130">
        <v>17</v>
      </c>
      <c r="B130">
        <v>126</v>
      </c>
      <c r="C130">
        <v>128</v>
      </c>
      <c r="D130" t="s">
        <v>18</v>
      </c>
      <c r="J130" s="4" t="b">
        <v>1</v>
      </c>
    </row>
    <row r="131" spans="1:10" x14ac:dyDescent="0.2">
      <c r="A131">
        <v>17</v>
      </c>
      <c r="B131">
        <v>127</v>
      </c>
      <c r="C131">
        <v>129</v>
      </c>
      <c r="D131" t="s">
        <v>18</v>
      </c>
      <c r="J131" s="4" t="b">
        <v>1</v>
      </c>
    </row>
    <row r="132" spans="1:10" x14ac:dyDescent="0.2">
      <c r="A132">
        <v>17</v>
      </c>
      <c r="B132">
        <v>128</v>
      </c>
      <c r="C132">
        <v>130</v>
      </c>
      <c r="D132" t="s">
        <v>18</v>
      </c>
      <c r="J132" s="4" t="b">
        <v>1</v>
      </c>
    </row>
    <row r="133" spans="1:10" x14ac:dyDescent="0.2">
      <c r="A133">
        <v>17</v>
      </c>
      <c r="B133">
        <v>129</v>
      </c>
      <c r="C133">
        <v>131</v>
      </c>
      <c r="D133" t="s">
        <v>18</v>
      </c>
      <c r="J133" s="4" t="b">
        <v>1</v>
      </c>
    </row>
    <row r="134" spans="1:10" x14ac:dyDescent="0.2">
      <c r="A134">
        <v>17</v>
      </c>
      <c r="B134">
        <v>130</v>
      </c>
      <c r="C134">
        <v>132</v>
      </c>
      <c r="D134" t="s">
        <v>18</v>
      </c>
      <c r="J134" s="4" t="b">
        <v>1</v>
      </c>
    </row>
    <row r="135" spans="1:10" x14ac:dyDescent="0.2">
      <c r="A135">
        <v>17</v>
      </c>
      <c r="C135">
        <v>133</v>
      </c>
      <c r="D135" t="s">
        <v>18</v>
      </c>
      <c r="J135" s="4" t="b">
        <v>1</v>
      </c>
    </row>
    <row r="136" spans="1:10" x14ac:dyDescent="0.2">
      <c r="A136">
        <v>17</v>
      </c>
      <c r="B136">
        <v>132</v>
      </c>
      <c r="C136">
        <v>134</v>
      </c>
      <c r="D136" t="s">
        <v>18</v>
      </c>
      <c r="J136" s="4" t="b">
        <v>1</v>
      </c>
    </row>
    <row r="137" spans="1:10" x14ac:dyDescent="0.2">
      <c r="A137">
        <v>18</v>
      </c>
      <c r="C137">
        <v>135</v>
      </c>
      <c r="D137" t="s">
        <v>18</v>
      </c>
      <c r="J137" s="4" t="b">
        <v>1</v>
      </c>
    </row>
    <row r="138" spans="1:10" x14ac:dyDescent="0.2">
      <c r="A138">
        <v>18</v>
      </c>
      <c r="B138">
        <v>133</v>
      </c>
      <c r="C138">
        <v>136</v>
      </c>
      <c r="D138" t="s">
        <v>18</v>
      </c>
      <c r="J138" s="4" t="b">
        <v>1</v>
      </c>
    </row>
    <row r="139" spans="1:10" x14ac:dyDescent="0.2">
      <c r="A139">
        <v>18</v>
      </c>
      <c r="B139">
        <v>141</v>
      </c>
      <c r="C139">
        <v>137</v>
      </c>
      <c r="D139" t="s">
        <v>18</v>
      </c>
      <c r="J139" s="4" t="b">
        <v>1</v>
      </c>
    </row>
    <row r="140" spans="1:10" x14ac:dyDescent="0.2">
      <c r="A140">
        <v>18</v>
      </c>
      <c r="B140">
        <v>131</v>
      </c>
      <c r="C140">
        <v>138</v>
      </c>
      <c r="D140" t="s">
        <v>18</v>
      </c>
      <c r="J140" s="4" t="b">
        <v>1</v>
      </c>
    </row>
    <row r="141" spans="1:10" x14ac:dyDescent="0.2">
      <c r="A141">
        <v>18</v>
      </c>
      <c r="B141">
        <v>134</v>
      </c>
      <c r="C141">
        <v>139</v>
      </c>
      <c r="D141" t="s">
        <v>19</v>
      </c>
      <c r="J141" s="4" t="b">
        <v>1</v>
      </c>
    </row>
    <row r="142" spans="1:10" x14ac:dyDescent="0.2">
      <c r="A142">
        <v>18</v>
      </c>
      <c r="B142">
        <v>135</v>
      </c>
      <c r="C142">
        <v>140</v>
      </c>
      <c r="D142" t="s">
        <v>18</v>
      </c>
      <c r="J142" s="4" t="b">
        <v>1</v>
      </c>
    </row>
    <row r="143" spans="1:10" x14ac:dyDescent="0.2">
      <c r="A143">
        <v>18</v>
      </c>
      <c r="B143">
        <v>137</v>
      </c>
      <c r="C143">
        <v>141</v>
      </c>
      <c r="D143" t="s">
        <v>18</v>
      </c>
      <c r="J143" s="4" t="b">
        <v>1</v>
      </c>
    </row>
    <row r="144" spans="1:10" x14ac:dyDescent="0.2">
      <c r="A144">
        <v>18</v>
      </c>
      <c r="B144">
        <v>136</v>
      </c>
      <c r="C144">
        <v>142</v>
      </c>
      <c r="D144" t="s">
        <v>18</v>
      </c>
      <c r="J144" s="4" t="b">
        <v>1</v>
      </c>
    </row>
    <row r="145" spans="1:10" x14ac:dyDescent="0.2">
      <c r="A145">
        <v>19</v>
      </c>
      <c r="B145">
        <v>138</v>
      </c>
      <c r="C145">
        <v>143</v>
      </c>
      <c r="D145" t="s">
        <v>18</v>
      </c>
      <c r="J145" s="4" t="b">
        <v>1</v>
      </c>
    </row>
    <row r="146" spans="1:10" x14ac:dyDescent="0.2">
      <c r="A146">
        <v>19</v>
      </c>
      <c r="B146">
        <v>139</v>
      </c>
      <c r="C146">
        <v>144</v>
      </c>
      <c r="D146" t="s">
        <v>18</v>
      </c>
      <c r="J146" s="4" t="b">
        <v>1</v>
      </c>
    </row>
    <row r="147" spans="1:10" x14ac:dyDescent="0.2">
      <c r="A147">
        <v>19</v>
      </c>
      <c r="B147">
        <v>140</v>
      </c>
      <c r="C147">
        <v>145</v>
      </c>
      <c r="D147" t="s">
        <v>18</v>
      </c>
      <c r="J147" s="4" t="b">
        <v>1</v>
      </c>
    </row>
    <row r="148" spans="1:10" x14ac:dyDescent="0.2">
      <c r="A148">
        <v>19</v>
      </c>
      <c r="B148">
        <v>142</v>
      </c>
      <c r="C148">
        <v>146</v>
      </c>
      <c r="D148" t="s">
        <v>18</v>
      </c>
      <c r="J148" s="4" t="b">
        <v>1</v>
      </c>
    </row>
    <row r="149" spans="1:10" x14ac:dyDescent="0.2">
      <c r="A149">
        <v>19</v>
      </c>
      <c r="B149">
        <v>143</v>
      </c>
      <c r="C149">
        <v>147</v>
      </c>
      <c r="D149" t="s">
        <v>18</v>
      </c>
      <c r="J149" s="4" t="b">
        <v>1</v>
      </c>
    </row>
    <row r="150" spans="1:10" x14ac:dyDescent="0.2">
      <c r="A150">
        <v>19</v>
      </c>
      <c r="B150">
        <v>144</v>
      </c>
      <c r="C150">
        <v>148</v>
      </c>
      <c r="D150" t="s">
        <v>18</v>
      </c>
      <c r="J150" s="4" t="b">
        <v>1</v>
      </c>
    </row>
    <row r="151" spans="1:10" x14ac:dyDescent="0.2">
      <c r="A151">
        <v>19</v>
      </c>
      <c r="B151">
        <v>145</v>
      </c>
      <c r="C151">
        <v>149</v>
      </c>
      <c r="D151" t="s">
        <v>21</v>
      </c>
      <c r="F151" t="s">
        <v>90</v>
      </c>
      <c r="G151" t="s">
        <v>58</v>
      </c>
      <c r="J151" s="4" t="b">
        <v>1</v>
      </c>
    </row>
    <row r="152" spans="1:10" x14ac:dyDescent="0.2">
      <c r="A152">
        <v>19</v>
      </c>
      <c r="C152">
        <v>150</v>
      </c>
      <c r="D152" t="s">
        <v>21</v>
      </c>
      <c r="J152" s="4" t="b">
        <v>1</v>
      </c>
    </row>
    <row r="153" spans="1:10" x14ac:dyDescent="0.2">
      <c r="A153">
        <v>20</v>
      </c>
      <c r="B153">
        <v>146</v>
      </c>
      <c r="C153">
        <v>151</v>
      </c>
      <c r="D153" t="s">
        <v>18</v>
      </c>
      <c r="J153" s="4" t="b">
        <v>1</v>
      </c>
    </row>
    <row r="154" spans="1:10" x14ac:dyDescent="0.2">
      <c r="A154">
        <v>20</v>
      </c>
      <c r="B154">
        <v>147</v>
      </c>
      <c r="C154">
        <v>152</v>
      </c>
      <c r="D154" t="s">
        <v>18</v>
      </c>
      <c r="J154" s="4" t="b">
        <v>1</v>
      </c>
    </row>
    <row r="155" spans="1:10" x14ac:dyDescent="0.2">
      <c r="A155">
        <v>20</v>
      </c>
      <c r="B155">
        <v>148</v>
      </c>
      <c r="C155">
        <v>153</v>
      </c>
      <c r="D155" t="s">
        <v>20</v>
      </c>
      <c r="J155" s="4" t="b">
        <v>1</v>
      </c>
    </row>
    <row r="156" spans="1:10" x14ac:dyDescent="0.2">
      <c r="A156">
        <v>20</v>
      </c>
      <c r="B156">
        <v>149</v>
      </c>
      <c r="C156">
        <v>154</v>
      </c>
      <c r="D156" t="s">
        <v>19</v>
      </c>
      <c r="F156" t="s">
        <v>10</v>
      </c>
      <c r="J156" s="4" t="b">
        <v>1</v>
      </c>
    </row>
    <row r="157" spans="1:10" x14ac:dyDescent="0.2">
      <c r="A157">
        <v>20</v>
      </c>
      <c r="B157">
        <v>149</v>
      </c>
      <c r="C157">
        <v>154</v>
      </c>
      <c r="D157" t="s">
        <v>19</v>
      </c>
      <c r="F157" t="s">
        <v>10</v>
      </c>
      <c r="J157" s="4" t="b">
        <v>1</v>
      </c>
    </row>
    <row r="158" spans="1:10" x14ac:dyDescent="0.2">
      <c r="A158">
        <v>20</v>
      </c>
      <c r="B158">
        <v>150</v>
      </c>
      <c r="C158">
        <v>155</v>
      </c>
      <c r="D158" t="s">
        <v>20</v>
      </c>
      <c r="J158" s="4" t="b">
        <v>1</v>
      </c>
    </row>
    <row r="159" spans="1:10" x14ac:dyDescent="0.2">
      <c r="A159">
        <v>20</v>
      </c>
      <c r="B159">
        <v>153</v>
      </c>
      <c r="C159">
        <v>156</v>
      </c>
      <c r="D159" t="s">
        <v>16</v>
      </c>
      <c r="J159" s="4" t="b">
        <v>1</v>
      </c>
    </row>
    <row r="160" spans="1:10" x14ac:dyDescent="0.2">
      <c r="A160">
        <v>20</v>
      </c>
      <c r="C160">
        <v>157</v>
      </c>
      <c r="D160" t="s">
        <v>16</v>
      </c>
      <c r="F160" t="s">
        <v>9</v>
      </c>
      <c r="J160" s="4" t="b">
        <v>1</v>
      </c>
    </row>
    <row r="161" spans="1:10" x14ac:dyDescent="0.2">
      <c r="A161">
        <v>20</v>
      </c>
      <c r="B161">
        <v>151</v>
      </c>
      <c r="C161">
        <v>158</v>
      </c>
      <c r="D161" t="s">
        <v>16</v>
      </c>
      <c r="J161" s="4" t="b">
        <v>1</v>
      </c>
    </row>
    <row r="162" spans="1:10" x14ac:dyDescent="0.2">
      <c r="A162">
        <v>21</v>
      </c>
      <c r="B162">
        <v>152</v>
      </c>
      <c r="C162">
        <v>159</v>
      </c>
      <c r="D162" t="s">
        <v>21</v>
      </c>
      <c r="J162" s="4" t="b">
        <v>1</v>
      </c>
    </row>
    <row r="163" spans="1:10" x14ac:dyDescent="0.2">
      <c r="A163">
        <v>21</v>
      </c>
      <c r="B163">
        <v>154</v>
      </c>
      <c r="C163">
        <v>160</v>
      </c>
      <c r="D163" t="s">
        <v>16</v>
      </c>
      <c r="J163" s="4" t="b">
        <v>1</v>
      </c>
    </row>
    <row r="164" spans="1:10" x14ac:dyDescent="0.2">
      <c r="A164">
        <v>21</v>
      </c>
      <c r="B164">
        <v>155</v>
      </c>
      <c r="C164">
        <v>161</v>
      </c>
      <c r="D164" t="s">
        <v>16</v>
      </c>
      <c r="J164" s="4" t="b">
        <v>1</v>
      </c>
    </row>
    <row r="165" spans="1:10" x14ac:dyDescent="0.2">
      <c r="A165">
        <v>21</v>
      </c>
      <c r="B165">
        <v>156</v>
      </c>
      <c r="C165">
        <v>162</v>
      </c>
      <c r="D165" t="s">
        <v>16</v>
      </c>
      <c r="J165" s="4" t="b">
        <v>1</v>
      </c>
    </row>
    <row r="166" spans="1:10" x14ac:dyDescent="0.2">
      <c r="A166">
        <v>21</v>
      </c>
      <c r="B166">
        <v>119</v>
      </c>
      <c r="C166">
        <v>163</v>
      </c>
      <c r="D166" t="s">
        <v>18</v>
      </c>
      <c r="J166" s="4" t="b">
        <v>1</v>
      </c>
    </row>
    <row r="167" spans="1:10" x14ac:dyDescent="0.2">
      <c r="A167">
        <v>21</v>
      </c>
      <c r="B167">
        <v>120</v>
      </c>
      <c r="C167">
        <v>164</v>
      </c>
      <c r="D167" t="s">
        <v>18</v>
      </c>
      <c r="J167" s="4" t="b">
        <v>1</v>
      </c>
    </row>
    <row r="168" spans="1:10" x14ac:dyDescent="0.2">
      <c r="A168">
        <v>21</v>
      </c>
      <c r="B168">
        <v>157</v>
      </c>
      <c r="C168">
        <v>165</v>
      </c>
      <c r="D168" t="s">
        <v>16</v>
      </c>
      <c r="J168" s="4" t="b">
        <v>1</v>
      </c>
    </row>
    <row r="169" spans="1:10" x14ac:dyDescent="0.2">
      <c r="A169">
        <v>21</v>
      </c>
      <c r="B169">
        <v>158</v>
      </c>
      <c r="C169">
        <v>166</v>
      </c>
      <c r="D169" t="s">
        <v>16</v>
      </c>
      <c r="J169" s="4" t="b">
        <v>1</v>
      </c>
    </row>
    <row r="170" spans="1:10" x14ac:dyDescent="0.2">
      <c r="A170">
        <v>22</v>
      </c>
      <c r="B170">
        <v>159</v>
      </c>
      <c r="C170">
        <v>167</v>
      </c>
      <c r="D170" t="s">
        <v>16</v>
      </c>
      <c r="E170" t="s">
        <v>58</v>
      </c>
      <c r="J170" s="4" t="b">
        <v>1</v>
      </c>
    </row>
    <row r="171" spans="1:10" x14ac:dyDescent="0.2">
      <c r="A171">
        <v>22</v>
      </c>
      <c r="B171">
        <v>160</v>
      </c>
      <c r="C171">
        <v>168</v>
      </c>
      <c r="D171" t="s">
        <v>16</v>
      </c>
      <c r="J171" s="4" t="b">
        <v>1</v>
      </c>
    </row>
    <row r="172" spans="1:10" x14ac:dyDescent="0.2">
      <c r="A172">
        <v>22</v>
      </c>
      <c r="B172">
        <v>161</v>
      </c>
      <c r="C172">
        <v>169</v>
      </c>
      <c r="D172" t="s">
        <v>16</v>
      </c>
      <c r="J172" s="4" t="b">
        <v>1</v>
      </c>
    </row>
    <row r="173" spans="1:10" x14ac:dyDescent="0.2">
      <c r="A173">
        <v>22</v>
      </c>
      <c r="B173">
        <v>162</v>
      </c>
      <c r="C173">
        <v>170</v>
      </c>
      <c r="D173" t="s">
        <v>66</v>
      </c>
      <c r="J173" s="4" t="b">
        <v>1</v>
      </c>
    </row>
    <row r="174" spans="1:10" x14ac:dyDescent="0.2">
      <c r="A174">
        <v>22</v>
      </c>
      <c r="B174">
        <v>163</v>
      </c>
      <c r="C174">
        <v>171</v>
      </c>
      <c r="D174" t="s">
        <v>67</v>
      </c>
      <c r="F174" t="s">
        <v>42</v>
      </c>
      <c r="J174" s="4" t="b">
        <v>1</v>
      </c>
    </row>
    <row r="175" spans="1:10" x14ac:dyDescent="0.2">
      <c r="A175">
        <v>22</v>
      </c>
      <c r="B175">
        <v>164</v>
      </c>
      <c r="C175">
        <v>172</v>
      </c>
      <c r="D175" t="s">
        <v>21</v>
      </c>
      <c r="F175" t="s">
        <v>91</v>
      </c>
      <c r="G175" t="s">
        <v>58</v>
      </c>
      <c r="J175" s="4" t="b">
        <v>1</v>
      </c>
    </row>
    <row r="176" spans="1:10" x14ac:dyDescent="0.2">
      <c r="A176">
        <v>22</v>
      </c>
      <c r="B176">
        <v>165</v>
      </c>
      <c r="C176">
        <v>173</v>
      </c>
      <c r="D176" t="s">
        <v>21</v>
      </c>
      <c r="F176" t="s">
        <v>92</v>
      </c>
      <c r="G176" t="s">
        <v>58</v>
      </c>
      <c r="J176" s="4" t="b">
        <v>1</v>
      </c>
    </row>
    <row r="177" spans="1:10" x14ac:dyDescent="0.2">
      <c r="A177">
        <v>22</v>
      </c>
      <c r="B177">
        <v>167</v>
      </c>
      <c r="C177">
        <v>174</v>
      </c>
      <c r="D177" t="s">
        <v>21</v>
      </c>
      <c r="J177" s="4" t="b">
        <v>1</v>
      </c>
    </row>
    <row r="178" spans="1:10" x14ac:dyDescent="0.2">
      <c r="A178">
        <v>23</v>
      </c>
      <c r="B178">
        <v>168</v>
      </c>
      <c r="C178">
        <v>175</v>
      </c>
      <c r="D178" t="s">
        <v>21</v>
      </c>
      <c r="F178" t="s">
        <v>14</v>
      </c>
      <c r="G178" t="s">
        <v>58</v>
      </c>
      <c r="J178" s="4" t="b">
        <v>1</v>
      </c>
    </row>
    <row r="179" spans="1:10" x14ac:dyDescent="0.2">
      <c r="A179">
        <v>23</v>
      </c>
      <c r="B179">
        <v>169</v>
      </c>
      <c r="C179">
        <v>176</v>
      </c>
      <c r="D179" t="s">
        <v>21</v>
      </c>
      <c r="F179" t="s">
        <v>15</v>
      </c>
      <c r="G179" t="s">
        <v>58</v>
      </c>
      <c r="J179" s="4" t="b">
        <v>1</v>
      </c>
    </row>
    <row r="180" spans="1:10" x14ac:dyDescent="0.2">
      <c r="A180">
        <v>23</v>
      </c>
      <c r="B180">
        <v>166</v>
      </c>
      <c r="C180">
        <v>177</v>
      </c>
      <c r="D180" t="s">
        <v>16</v>
      </c>
      <c r="E180" t="s">
        <v>58</v>
      </c>
      <c r="J180" s="4" t="b">
        <v>1</v>
      </c>
    </row>
    <row r="181" spans="1:10" x14ac:dyDescent="0.2">
      <c r="A181">
        <v>23</v>
      </c>
      <c r="B181">
        <v>170</v>
      </c>
      <c r="C181">
        <v>178</v>
      </c>
      <c r="D181" t="s">
        <v>5</v>
      </c>
      <c r="F181" t="s">
        <v>93</v>
      </c>
      <c r="G181" t="s">
        <v>58</v>
      </c>
      <c r="J181" s="4" t="b">
        <v>1</v>
      </c>
    </row>
    <row r="182" spans="1:10" x14ac:dyDescent="0.2">
      <c r="A182">
        <v>23</v>
      </c>
      <c r="B182">
        <v>171</v>
      </c>
      <c r="C182">
        <v>179</v>
      </c>
      <c r="D182" t="s">
        <v>20</v>
      </c>
      <c r="J182" s="4" t="b">
        <v>1</v>
      </c>
    </row>
    <row r="183" spans="1:10" x14ac:dyDescent="0.2">
      <c r="A183">
        <v>23</v>
      </c>
      <c r="B183">
        <v>172</v>
      </c>
      <c r="C183">
        <v>180</v>
      </c>
      <c r="D183" t="s">
        <v>20</v>
      </c>
      <c r="J183" s="4" t="b">
        <v>1</v>
      </c>
    </row>
    <row r="184" spans="1:10" x14ac:dyDescent="0.2">
      <c r="A184">
        <v>23</v>
      </c>
      <c r="B184">
        <v>173</v>
      </c>
      <c r="C184">
        <v>181</v>
      </c>
      <c r="D184" t="s">
        <v>16</v>
      </c>
      <c r="E184" t="s">
        <v>58</v>
      </c>
      <c r="J184" s="4" t="b">
        <v>1</v>
      </c>
    </row>
    <row r="185" spans="1:10" x14ac:dyDescent="0.2">
      <c r="A185">
        <v>24</v>
      </c>
      <c r="B185">
        <v>174</v>
      </c>
      <c r="C185">
        <v>182</v>
      </c>
      <c r="D185" t="s">
        <v>17</v>
      </c>
      <c r="J185" s="4" t="b">
        <v>1</v>
      </c>
    </row>
    <row r="186" spans="1:10" x14ac:dyDescent="0.2">
      <c r="A186">
        <v>24</v>
      </c>
      <c r="B186">
        <v>175</v>
      </c>
      <c r="C186">
        <v>183</v>
      </c>
      <c r="D186" t="s">
        <v>18</v>
      </c>
      <c r="J186" s="4" t="b">
        <v>1</v>
      </c>
    </row>
    <row r="187" spans="1:10" x14ac:dyDescent="0.2">
      <c r="A187">
        <v>24</v>
      </c>
      <c r="B187">
        <v>176</v>
      </c>
      <c r="C187">
        <v>184</v>
      </c>
      <c r="D187" t="s">
        <v>18</v>
      </c>
      <c r="J187" s="4" t="b">
        <v>1</v>
      </c>
    </row>
    <row r="188" spans="1:10" x14ac:dyDescent="0.2">
      <c r="A188">
        <v>24</v>
      </c>
      <c r="B188">
        <v>177</v>
      </c>
      <c r="C188">
        <v>185</v>
      </c>
      <c r="D188" t="s">
        <v>20</v>
      </c>
      <c r="J188" s="4" t="b">
        <v>1</v>
      </c>
    </row>
    <row r="189" spans="1:10" x14ac:dyDescent="0.2">
      <c r="A189">
        <v>24</v>
      </c>
      <c r="B189">
        <v>178</v>
      </c>
      <c r="C189">
        <v>186</v>
      </c>
      <c r="D189" t="s">
        <v>18</v>
      </c>
      <c r="J189" s="4" t="b">
        <v>1</v>
      </c>
    </row>
    <row r="190" spans="1:10" x14ac:dyDescent="0.2">
      <c r="A190">
        <v>24</v>
      </c>
      <c r="B190">
        <v>179</v>
      </c>
      <c r="C190">
        <v>187</v>
      </c>
      <c r="D190" t="s">
        <v>21</v>
      </c>
      <c r="J190" s="4" t="b">
        <v>1</v>
      </c>
    </row>
    <row r="191" spans="1:10" x14ac:dyDescent="0.2">
      <c r="A191">
        <v>24</v>
      </c>
      <c r="B191">
        <v>180</v>
      </c>
      <c r="C191">
        <v>188</v>
      </c>
      <c r="D191" t="s">
        <v>11</v>
      </c>
      <c r="H191" t="s">
        <v>58</v>
      </c>
      <c r="J191" s="4" t="b">
        <v>1</v>
      </c>
    </row>
    <row r="192" spans="1:10" x14ac:dyDescent="0.2">
      <c r="A192">
        <v>24</v>
      </c>
      <c r="B192">
        <v>181</v>
      </c>
      <c r="C192">
        <v>189</v>
      </c>
      <c r="D192" t="s">
        <v>21</v>
      </c>
      <c r="J192" s="4" t="b">
        <v>1</v>
      </c>
    </row>
    <row r="193" spans="1:10" x14ac:dyDescent="0.2">
      <c r="A193">
        <v>25</v>
      </c>
      <c r="B193">
        <v>182</v>
      </c>
      <c r="C193">
        <v>190</v>
      </c>
      <c r="D193" t="s">
        <v>11</v>
      </c>
      <c r="H193" t="s">
        <v>58</v>
      </c>
      <c r="J193" s="4" t="b">
        <v>1</v>
      </c>
    </row>
    <row r="194" spans="1:10" x14ac:dyDescent="0.2">
      <c r="A194">
        <v>25</v>
      </c>
      <c r="B194">
        <v>183</v>
      </c>
      <c r="C194">
        <v>191</v>
      </c>
      <c r="D194" t="s">
        <v>11</v>
      </c>
      <c r="H194" t="s">
        <v>58</v>
      </c>
      <c r="J194" s="4" t="b">
        <v>1</v>
      </c>
    </row>
    <row r="195" spans="1:10" x14ac:dyDescent="0.2">
      <c r="A195">
        <v>25</v>
      </c>
      <c r="B195">
        <v>184</v>
      </c>
      <c r="C195">
        <v>192</v>
      </c>
      <c r="D195" t="s">
        <v>11</v>
      </c>
      <c r="H195" t="s">
        <v>58</v>
      </c>
      <c r="J195" s="4" t="b">
        <v>1</v>
      </c>
    </row>
    <row r="196" spans="1:10" x14ac:dyDescent="0.2">
      <c r="A196">
        <v>25</v>
      </c>
      <c r="B196">
        <v>185</v>
      </c>
      <c r="C196">
        <v>193</v>
      </c>
      <c r="D196" t="s">
        <v>11</v>
      </c>
      <c r="H196" t="s">
        <v>58</v>
      </c>
      <c r="J196" s="4" t="b">
        <v>1</v>
      </c>
    </row>
    <row r="197" spans="1:10" x14ac:dyDescent="0.2">
      <c r="A197">
        <v>25</v>
      </c>
      <c r="B197">
        <v>186</v>
      </c>
      <c r="C197">
        <v>194</v>
      </c>
      <c r="D197" t="s">
        <v>18</v>
      </c>
      <c r="J197" s="4" t="b">
        <v>1</v>
      </c>
    </row>
    <row r="198" spans="1:10" x14ac:dyDescent="0.2">
      <c r="A198">
        <v>25</v>
      </c>
      <c r="B198">
        <v>187</v>
      </c>
      <c r="C198">
        <v>195</v>
      </c>
      <c r="D198" t="s">
        <v>11</v>
      </c>
      <c r="H198" t="s">
        <v>58</v>
      </c>
      <c r="J198" s="4" t="b">
        <v>1</v>
      </c>
    </row>
    <row r="199" spans="1:10" x14ac:dyDescent="0.2">
      <c r="A199">
        <v>26</v>
      </c>
      <c r="B199">
        <v>188</v>
      </c>
      <c r="C199">
        <v>196</v>
      </c>
      <c r="D199" t="s">
        <v>18</v>
      </c>
      <c r="J199" s="4" t="b">
        <v>1</v>
      </c>
    </row>
    <row r="200" spans="1:10" x14ac:dyDescent="0.2">
      <c r="A200">
        <v>26</v>
      </c>
      <c r="B200">
        <v>189</v>
      </c>
      <c r="C200">
        <v>197</v>
      </c>
      <c r="D200" t="s">
        <v>21</v>
      </c>
      <c r="F200" t="s">
        <v>91</v>
      </c>
      <c r="G200" t="s">
        <v>58</v>
      </c>
      <c r="J200" s="4" t="b">
        <v>1</v>
      </c>
    </row>
    <row r="201" spans="1:10" x14ac:dyDescent="0.2">
      <c r="A201">
        <v>26</v>
      </c>
      <c r="B201">
        <v>190</v>
      </c>
      <c r="C201">
        <v>198</v>
      </c>
      <c r="D201" t="s">
        <v>18</v>
      </c>
      <c r="J201" s="4" t="b">
        <v>1</v>
      </c>
    </row>
    <row r="202" spans="1:10" x14ac:dyDescent="0.2">
      <c r="A202">
        <v>26</v>
      </c>
      <c r="C202">
        <v>199</v>
      </c>
      <c r="D202" t="s">
        <v>66</v>
      </c>
      <c r="J202" s="4" t="b">
        <v>1</v>
      </c>
    </row>
    <row r="203" spans="1:10" x14ac:dyDescent="0.2">
      <c r="A203">
        <v>26</v>
      </c>
      <c r="C203">
        <v>200</v>
      </c>
      <c r="D203" t="s">
        <v>18</v>
      </c>
      <c r="J203" s="4" t="b">
        <v>1</v>
      </c>
    </row>
    <row r="204" spans="1:10" x14ac:dyDescent="0.2">
      <c r="A204">
        <v>26</v>
      </c>
      <c r="C204">
        <v>201</v>
      </c>
      <c r="D204" t="s">
        <v>18</v>
      </c>
      <c r="J204" s="4" t="b">
        <v>1</v>
      </c>
    </row>
    <row r="205" spans="1:10" x14ac:dyDescent="0.2">
      <c r="A205">
        <v>26</v>
      </c>
      <c r="C205">
        <v>202</v>
      </c>
      <c r="D205" t="s">
        <v>18</v>
      </c>
      <c r="J205" s="4" t="b">
        <v>1</v>
      </c>
    </row>
    <row r="206" spans="1:10" x14ac:dyDescent="0.2">
      <c r="A206">
        <v>26</v>
      </c>
      <c r="C206">
        <v>203</v>
      </c>
      <c r="D206" t="s">
        <v>18</v>
      </c>
      <c r="F206" t="s">
        <v>57</v>
      </c>
      <c r="J206" s="4" t="b">
        <v>1</v>
      </c>
    </row>
    <row r="207" spans="1:10" x14ac:dyDescent="0.2">
      <c r="A207">
        <v>27</v>
      </c>
      <c r="C207">
        <v>204</v>
      </c>
      <c r="D207" t="s">
        <v>65</v>
      </c>
      <c r="J207" s="4" t="b">
        <v>1</v>
      </c>
    </row>
    <row r="208" spans="1:10" x14ac:dyDescent="0.2">
      <c r="A208">
        <v>27</v>
      </c>
      <c r="C208">
        <v>205</v>
      </c>
      <c r="D208" t="s">
        <v>18</v>
      </c>
      <c r="J208" s="4" t="b">
        <v>1</v>
      </c>
    </row>
    <row r="209" spans="1:10" x14ac:dyDescent="0.2">
      <c r="A209">
        <v>27</v>
      </c>
      <c r="C209">
        <v>206</v>
      </c>
      <c r="D209" t="s">
        <v>18</v>
      </c>
      <c r="J209" s="4" t="b">
        <v>1</v>
      </c>
    </row>
    <row r="210" spans="1:10" x14ac:dyDescent="0.2">
      <c r="A210">
        <v>27</v>
      </c>
      <c r="C210">
        <v>207</v>
      </c>
      <c r="D210" t="s">
        <v>18</v>
      </c>
      <c r="J210" s="4" t="b">
        <v>1</v>
      </c>
    </row>
    <row r="211" spans="1:10" x14ac:dyDescent="0.2">
      <c r="A211">
        <v>27</v>
      </c>
      <c r="C211">
        <v>208</v>
      </c>
      <c r="D211" t="s">
        <v>18</v>
      </c>
      <c r="J211" s="4" t="b">
        <v>1</v>
      </c>
    </row>
    <row r="212" spans="1:10" x14ac:dyDescent="0.2">
      <c r="A212">
        <v>27</v>
      </c>
      <c r="C212">
        <v>209</v>
      </c>
      <c r="D212" t="s">
        <v>16</v>
      </c>
      <c r="J212" s="4" t="b">
        <v>1</v>
      </c>
    </row>
    <row r="213" spans="1:10" x14ac:dyDescent="0.2">
      <c r="A213">
        <v>27</v>
      </c>
      <c r="C213">
        <v>210</v>
      </c>
      <c r="D213" t="s">
        <v>13</v>
      </c>
      <c r="J213" s="4" t="b">
        <v>1</v>
      </c>
    </row>
    <row r="214" spans="1:10" x14ac:dyDescent="0.2">
      <c r="A214">
        <v>27</v>
      </c>
      <c r="C214">
        <v>211</v>
      </c>
      <c r="D214" t="s">
        <v>26</v>
      </c>
      <c r="F214" t="s">
        <v>3</v>
      </c>
      <c r="J214" s="4" t="b">
        <v>1</v>
      </c>
    </row>
    <row r="215" spans="1:10" x14ac:dyDescent="0.2">
      <c r="A215">
        <v>28</v>
      </c>
      <c r="C215">
        <v>212</v>
      </c>
      <c r="D215" t="s">
        <v>21</v>
      </c>
      <c r="J215" s="4" t="b">
        <v>1</v>
      </c>
    </row>
    <row r="216" spans="1:10" x14ac:dyDescent="0.2">
      <c r="A216">
        <v>28</v>
      </c>
      <c r="C216">
        <v>213</v>
      </c>
      <c r="D216" t="s">
        <v>25</v>
      </c>
      <c r="F216" t="s">
        <v>24</v>
      </c>
      <c r="G216" t="s">
        <v>58</v>
      </c>
      <c r="J216" s="4" t="b">
        <v>1</v>
      </c>
    </row>
    <row r="217" spans="1:10" x14ac:dyDescent="0.2">
      <c r="A217">
        <v>28</v>
      </c>
      <c r="C217">
        <v>213</v>
      </c>
      <c r="D217" t="s">
        <v>25</v>
      </c>
      <c r="F217" t="s">
        <v>24</v>
      </c>
      <c r="G217" t="s">
        <v>58</v>
      </c>
      <c r="J217" s="4" t="b">
        <v>1</v>
      </c>
    </row>
    <row r="218" spans="1:10" x14ac:dyDescent="0.2">
      <c r="A218">
        <v>28</v>
      </c>
      <c r="C218">
        <v>214</v>
      </c>
      <c r="D218" t="s">
        <v>16</v>
      </c>
      <c r="J218" s="4" t="b">
        <v>1</v>
      </c>
    </row>
    <row r="219" spans="1:10" x14ac:dyDescent="0.2">
      <c r="A219">
        <v>28</v>
      </c>
      <c r="C219">
        <v>215</v>
      </c>
      <c r="D219" t="s">
        <v>16</v>
      </c>
      <c r="E219" t="s">
        <v>58</v>
      </c>
      <c r="J219" s="4" t="b">
        <v>1</v>
      </c>
    </row>
    <row r="220" spans="1:10" x14ac:dyDescent="0.2">
      <c r="A220">
        <v>28</v>
      </c>
      <c r="C220">
        <v>216</v>
      </c>
      <c r="D220" t="s">
        <v>20</v>
      </c>
      <c r="J220" s="4" t="b">
        <v>1</v>
      </c>
    </row>
    <row r="221" spans="1:10" x14ac:dyDescent="0.2">
      <c r="A221">
        <v>28</v>
      </c>
      <c r="C221">
        <v>217</v>
      </c>
      <c r="D221" t="s">
        <v>5</v>
      </c>
      <c r="J221" s="4" t="b">
        <v>1</v>
      </c>
    </row>
    <row r="222" spans="1:10" x14ac:dyDescent="0.2">
      <c r="A222">
        <v>28</v>
      </c>
      <c r="C222">
        <v>218</v>
      </c>
      <c r="D222" t="s">
        <v>13</v>
      </c>
      <c r="F222" t="s">
        <v>43</v>
      </c>
      <c r="G222" t="s">
        <v>58</v>
      </c>
      <c r="J222" s="4" t="b">
        <v>1</v>
      </c>
    </row>
    <row r="223" spans="1:10" x14ac:dyDescent="0.2">
      <c r="A223">
        <v>29</v>
      </c>
      <c r="C223">
        <v>219</v>
      </c>
      <c r="D223" t="s">
        <v>13</v>
      </c>
      <c r="F223" t="s">
        <v>44</v>
      </c>
      <c r="G223" t="s">
        <v>58</v>
      </c>
      <c r="J223" s="4" t="b">
        <v>1</v>
      </c>
    </row>
    <row r="224" spans="1:10" x14ac:dyDescent="0.2">
      <c r="A224">
        <v>29</v>
      </c>
      <c r="C224">
        <v>220</v>
      </c>
      <c r="D224" t="s">
        <v>13</v>
      </c>
      <c r="F224" t="s">
        <v>45</v>
      </c>
      <c r="G224" t="s">
        <v>58</v>
      </c>
      <c r="J224" s="4" t="b">
        <v>1</v>
      </c>
    </row>
    <row r="225" spans="1:10" x14ac:dyDescent="0.2">
      <c r="A225">
        <v>29</v>
      </c>
      <c r="C225">
        <v>221</v>
      </c>
      <c r="D225" t="s">
        <v>13</v>
      </c>
      <c r="F225" t="s">
        <v>46</v>
      </c>
      <c r="G225" t="s">
        <v>58</v>
      </c>
      <c r="J225" s="4" t="b">
        <v>1</v>
      </c>
    </row>
    <row r="226" spans="1:10" x14ac:dyDescent="0.2">
      <c r="A226">
        <v>29</v>
      </c>
      <c r="C226">
        <v>222</v>
      </c>
      <c r="D226" t="s">
        <v>13</v>
      </c>
      <c r="F226" t="s">
        <v>47</v>
      </c>
      <c r="G226" t="s">
        <v>58</v>
      </c>
      <c r="J226" s="4" t="b">
        <v>1</v>
      </c>
    </row>
    <row r="227" spans="1:10" x14ac:dyDescent="0.2">
      <c r="A227">
        <v>29</v>
      </c>
      <c r="C227">
        <v>223</v>
      </c>
      <c r="D227" t="s">
        <v>13</v>
      </c>
      <c r="F227" t="s">
        <v>44</v>
      </c>
      <c r="G227" t="s">
        <v>58</v>
      </c>
      <c r="J227" s="4" t="b">
        <v>1</v>
      </c>
    </row>
    <row r="228" spans="1:10" x14ac:dyDescent="0.2">
      <c r="A228">
        <v>29</v>
      </c>
      <c r="C228">
        <v>224</v>
      </c>
      <c r="D228" t="s">
        <v>13</v>
      </c>
      <c r="F228" t="s">
        <v>48</v>
      </c>
      <c r="G228" t="s">
        <v>58</v>
      </c>
      <c r="J228" s="4" t="b">
        <v>1</v>
      </c>
    </row>
    <row r="229" spans="1:10" x14ac:dyDescent="0.2">
      <c r="A229">
        <v>30</v>
      </c>
      <c r="C229">
        <v>225</v>
      </c>
      <c r="D229" t="s">
        <v>13</v>
      </c>
      <c r="F229" t="s">
        <v>49</v>
      </c>
      <c r="G229" t="s">
        <v>58</v>
      </c>
      <c r="J229" s="4" t="b">
        <v>1</v>
      </c>
    </row>
    <row r="230" spans="1:10" x14ac:dyDescent="0.2">
      <c r="A230">
        <v>30</v>
      </c>
      <c r="C230">
        <v>226</v>
      </c>
      <c r="D230" t="s">
        <v>18</v>
      </c>
      <c r="J230" s="4" t="b">
        <v>1</v>
      </c>
    </row>
    <row r="231" spans="1:10" x14ac:dyDescent="0.2">
      <c r="A231">
        <v>30</v>
      </c>
      <c r="C231">
        <v>227</v>
      </c>
      <c r="D231" t="s">
        <v>18</v>
      </c>
      <c r="J231" s="4" t="b">
        <v>1</v>
      </c>
    </row>
    <row r="232" spans="1:10" x14ac:dyDescent="0.2">
      <c r="A232">
        <v>30</v>
      </c>
      <c r="C232">
        <v>228</v>
      </c>
      <c r="D232" t="s">
        <v>18</v>
      </c>
      <c r="J232" s="4" t="b">
        <v>1</v>
      </c>
    </row>
    <row r="233" spans="1:10" x14ac:dyDescent="0.2">
      <c r="A233">
        <v>30</v>
      </c>
      <c r="C233">
        <v>229</v>
      </c>
      <c r="D233" t="s">
        <v>18</v>
      </c>
      <c r="J233" s="4" t="b">
        <v>1</v>
      </c>
    </row>
    <row r="234" spans="1:10" x14ac:dyDescent="0.2">
      <c r="A234">
        <v>30</v>
      </c>
      <c r="C234">
        <v>230</v>
      </c>
      <c r="D234" t="s">
        <v>18</v>
      </c>
      <c r="J234" s="4" t="b">
        <v>1</v>
      </c>
    </row>
    <row r="235" spans="1:10" x14ac:dyDescent="0.2">
      <c r="A235">
        <v>31</v>
      </c>
      <c r="C235">
        <v>231</v>
      </c>
      <c r="D235" t="s">
        <v>18</v>
      </c>
      <c r="J235" s="4" t="b">
        <v>1</v>
      </c>
    </row>
    <row r="236" spans="1:10" x14ac:dyDescent="0.2">
      <c r="A236">
        <v>31</v>
      </c>
      <c r="C236">
        <v>232</v>
      </c>
      <c r="D236" t="s">
        <v>23</v>
      </c>
      <c r="G236" t="s">
        <v>58</v>
      </c>
      <c r="J236" s="4" t="b">
        <v>1</v>
      </c>
    </row>
    <row r="237" spans="1:10" x14ac:dyDescent="0.2">
      <c r="A237">
        <v>31</v>
      </c>
      <c r="C237">
        <v>234</v>
      </c>
      <c r="D237" t="s">
        <v>23</v>
      </c>
      <c r="G237" t="s">
        <v>58</v>
      </c>
      <c r="J237" s="4" t="b">
        <v>1</v>
      </c>
    </row>
    <row r="238" spans="1:10" x14ac:dyDescent="0.2">
      <c r="A238">
        <v>31</v>
      </c>
      <c r="C238">
        <v>235</v>
      </c>
      <c r="D238" t="s">
        <v>23</v>
      </c>
      <c r="G238" t="s">
        <v>58</v>
      </c>
      <c r="J238" s="4" t="b">
        <v>1</v>
      </c>
    </row>
    <row r="239" spans="1:10" x14ac:dyDescent="0.2">
      <c r="A239">
        <v>31</v>
      </c>
      <c r="C239">
        <v>236</v>
      </c>
      <c r="D239" t="s">
        <v>18</v>
      </c>
      <c r="J239" s="4" t="b">
        <v>1</v>
      </c>
    </row>
    <row r="240" spans="1:10" x14ac:dyDescent="0.2">
      <c r="A240">
        <v>31</v>
      </c>
      <c r="C240">
        <v>237</v>
      </c>
      <c r="D240" t="s">
        <v>16</v>
      </c>
      <c r="J240" s="4" t="b">
        <v>1</v>
      </c>
    </row>
    <row r="241" spans="1:10" x14ac:dyDescent="0.2">
      <c r="A241">
        <v>31</v>
      </c>
      <c r="C241">
        <v>238</v>
      </c>
      <c r="D241" t="s">
        <v>16</v>
      </c>
      <c r="J241" s="4" t="b">
        <v>1</v>
      </c>
    </row>
    <row r="242" spans="1:10" x14ac:dyDescent="0.2">
      <c r="A242">
        <v>31</v>
      </c>
      <c r="C242">
        <v>239</v>
      </c>
      <c r="D242" t="s">
        <v>18</v>
      </c>
      <c r="J242" s="4" t="b">
        <v>1</v>
      </c>
    </row>
    <row r="243" spans="1:10" x14ac:dyDescent="0.2">
      <c r="A243">
        <v>32</v>
      </c>
      <c r="C243">
        <v>240</v>
      </c>
      <c r="D243" t="s">
        <v>16</v>
      </c>
      <c r="J243" s="4" t="b">
        <v>1</v>
      </c>
    </row>
    <row r="244" spans="1:10" x14ac:dyDescent="0.2">
      <c r="A244">
        <v>32</v>
      </c>
      <c r="C244">
        <v>241</v>
      </c>
      <c r="D244" t="s">
        <v>26</v>
      </c>
      <c r="F244" t="s">
        <v>95</v>
      </c>
      <c r="J244" s="4" t="b">
        <v>1</v>
      </c>
    </row>
    <row r="245" spans="1:10" x14ac:dyDescent="0.2">
      <c r="A245">
        <v>32</v>
      </c>
      <c r="C245">
        <v>242</v>
      </c>
      <c r="D245" t="s">
        <v>13</v>
      </c>
      <c r="F245" t="s">
        <v>96</v>
      </c>
      <c r="G245" t="s">
        <v>58</v>
      </c>
      <c r="J245" s="4" t="b">
        <v>1</v>
      </c>
    </row>
    <row r="246" spans="1:10" x14ac:dyDescent="0.2">
      <c r="A246">
        <v>32</v>
      </c>
      <c r="C246">
        <v>243</v>
      </c>
      <c r="D246" t="s">
        <v>18</v>
      </c>
      <c r="J246" s="4" t="b">
        <v>1</v>
      </c>
    </row>
    <row r="247" spans="1:10" x14ac:dyDescent="0.2">
      <c r="A247">
        <v>32</v>
      </c>
      <c r="C247">
        <v>244</v>
      </c>
      <c r="D247" t="s">
        <v>18</v>
      </c>
      <c r="J247" s="4" t="b">
        <v>1</v>
      </c>
    </row>
    <row r="248" spans="1:10" x14ac:dyDescent="0.2">
      <c r="A248">
        <v>32</v>
      </c>
      <c r="C248">
        <v>245</v>
      </c>
      <c r="D248" t="s">
        <v>18</v>
      </c>
      <c r="J248" s="4" t="b">
        <v>1</v>
      </c>
    </row>
    <row r="249" spans="1:10" x14ac:dyDescent="0.2">
      <c r="A249">
        <v>33</v>
      </c>
      <c r="C249">
        <v>246</v>
      </c>
      <c r="D249" t="s">
        <v>23</v>
      </c>
      <c r="F249" t="s">
        <v>27</v>
      </c>
      <c r="G249" t="s">
        <v>58</v>
      </c>
      <c r="J249" s="4" t="b">
        <v>1</v>
      </c>
    </row>
    <row r="250" spans="1:10" x14ac:dyDescent="0.2">
      <c r="A250">
        <v>33</v>
      </c>
      <c r="C250">
        <v>247</v>
      </c>
      <c r="D250" t="s">
        <v>23</v>
      </c>
      <c r="F250" t="s">
        <v>28</v>
      </c>
      <c r="G250" t="s">
        <v>58</v>
      </c>
      <c r="J250" s="4" t="b">
        <v>1</v>
      </c>
    </row>
    <row r="251" spans="1:10" x14ac:dyDescent="0.2">
      <c r="A251">
        <v>33</v>
      </c>
      <c r="C251">
        <v>247</v>
      </c>
      <c r="D251" t="s">
        <v>23</v>
      </c>
      <c r="F251" t="s">
        <v>28</v>
      </c>
      <c r="G251" t="s">
        <v>58</v>
      </c>
      <c r="J251" s="4" t="b">
        <v>1</v>
      </c>
    </row>
    <row r="252" spans="1:10" x14ac:dyDescent="0.2">
      <c r="A252">
        <v>33</v>
      </c>
      <c r="C252">
        <v>248</v>
      </c>
      <c r="D252" t="s">
        <v>18</v>
      </c>
      <c r="J252" s="4" t="b">
        <v>1</v>
      </c>
    </row>
    <row r="253" spans="1:10" x14ac:dyDescent="0.2">
      <c r="A253">
        <v>33</v>
      </c>
      <c r="C253">
        <v>249</v>
      </c>
      <c r="D253" t="s">
        <v>18</v>
      </c>
      <c r="J253" s="4" t="b">
        <v>1</v>
      </c>
    </row>
    <row r="254" spans="1:10" x14ac:dyDescent="0.2">
      <c r="A254">
        <v>33</v>
      </c>
      <c r="C254">
        <v>250</v>
      </c>
      <c r="D254" t="s">
        <v>18</v>
      </c>
      <c r="J254" s="4" t="b">
        <v>1</v>
      </c>
    </row>
    <row r="255" spans="1:10" x14ac:dyDescent="0.2">
      <c r="A255">
        <v>33</v>
      </c>
      <c r="C255">
        <v>251</v>
      </c>
      <c r="D255" t="s">
        <v>60</v>
      </c>
      <c r="J255" s="4" t="b">
        <v>1</v>
      </c>
    </row>
    <row r="256" spans="1:10" x14ac:dyDescent="0.2">
      <c r="A256">
        <v>33</v>
      </c>
      <c r="C256">
        <v>252</v>
      </c>
      <c r="D256" t="s">
        <v>18</v>
      </c>
      <c r="J256" s="4" t="b">
        <v>1</v>
      </c>
    </row>
    <row r="257" spans="1:10" x14ac:dyDescent="0.2">
      <c r="A257">
        <v>33</v>
      </c>
      <c r="C257">
        <v>253</v>
      </c>
      <c r="D257" t="s">
        <v>18</v>
      </c>
      <c r="J257" s="4" t="b">
        <v>1</v>
      </c>
    </row>
    <row r="258" spans="1:10" x14ac:dyDescent="0.2">
      <c r="A258">
        <v>34</v>
      </c>
      <c r="C258">
        <v>254</v>
      </c>
      <c r="D258" t="s">
        <v>21</v>
      </c>
      <c r="F258" t="s">
        <v>91</v>
      </c>
      <c r="G258" t="s">
        <v>58</v>
      </c>
      <c r="J258" s="4" t="b">
        <v>1</v>
      </c>
    </row>
    <row r="259" spans="1:10" x14ac:dyDescent="0.2">
      <c r="A259">
        <v>34</v>
      </c>
      <c r="C259">
        <v>255</v>
      </c>
      <c r="D259" t="s">
        <v>18</v>
      </c>
      <c r="J259" s="4" t="b">
        <v>1</v>
      </c>
    </row>
    <row r="260" spans="1:10" x14ac:dyDescent="0.2">
      <c r="A260">
        <v>34</v>
      </c>
      <c r="C260">
        <v>256</v>
      </c>
      <c r="D260" t="s">
        <v>18</v>
      </c>
      <c r="F260" t="s">
        <v>97</v>
      </c>
      <c r="J260" s="4" t="b">
        <v>1</v>
      </c>
    </row>
    <row r="261" spans="1:10" x14ac:dyDescent="0.2">
      <c r="A261">
        <v>34</v>
      </c>
      <c r="C261">
        <v>256</v>
      </c>
      <c r="D261" t="s">
        <v>18</v>
      </c>
      <c r="F261" t="s">
        <v>97</v>
      </c>
      <c r="J261" s="4" t="b">
        <v>1</v>
      </c>
    </row>
    <row r="262" spans="1:10" x14ac:dyDescent="0.2">
      <c r="A262">
        <v>34</v>
      </c>
      <c r="C262">
        <v>256</v>
      </c>
      <c r="D262" t="s">
        <v>18</v>
      </c>
      <c r="F262" t="s">
        <v>97</v>
      </c>
      <c r="J262" s="4" t="b">
        <v>1</v>
      </c>
    </row>
    <row r="263" spans="1:10" x14ac:dyDescent="0.2">
      <c r="A263">
        <v>34</v>
      </c>
      <c r="C263">
        <v>257</v>
      </c>
      <c r="D263" t="s">
        <v>18</v>
      </c>
      <c r="J263" s="4" t="b">
        <v>1</v>
      </c>
    </row>
    <row r="264" spans="1:10" x14ac:dyDescent="0.2">
      <c r="A264">
        <v>34</v>
      </c>
      <c r="C264">
        <v>258</v>
      </c>
      <c r="D264" t="s">
        <v>18</v>
      </c>
      <c r="J264" s="4" t="b">
        <v>1</v>
      </c>
    </row>
    <row r="265" spans="1:10" x14ac:dyDescent="0.2">
      <c r="A265">
        <v>34</v>
      </c>
      <c r="C265">
        <v>259</v>
      </c>
      <c r="D265" t="s">
        <v>21</v>
      </c>
      <c r="F265" t="s">
        <v>98</v>
      </c>
      <c r="G265" t="s">
        <v>58</v>
      </c>
      <c r="J265" s="4" t="b">
        <v>1</v>
      </c>
    </row>
    <row r="266" spans="1:10" x14ac:dyDescent="0.2">
      <c r="A266">
        <v>34</v>
      </c>
      <c r="C266">
        <v>260</v>
      </c>
      <c r="D266" t="s">
        <v>67</v>
      </c>
      <c r="F266" t="s">
        <v>29</v>
      </c>
      <c r="G266" t="s">
        <v>58</v>
      </c>
      <c r="J266" s="4" t="b">
        <v>1</v>
      </c>
    </row>
    <row r="267" spans="1:10" x14ac:dyDescent="0.2">
      <c r="A267">
        <v>35</v>
      </c>
      <c r="C267">
        <v>261</v>
      </c>
      <c r="D267" t="s">
        <v>13</v>
      </c>
      <c r="F267" t="s">
        <v>74</v>
      </c>
      <c r="G267" t="s">
        <v>58</v>
      </c>
      <c r="J267" s="4" t="b">
        <v>1</v>
      </c>
    </row>
    <row r="268" spans="1:10" x14ac:dyDescent="0.2">
      <c r="A268">
        <v>35</v>
      </c>
      <c r="C268">
        <v>262</v>
      </c>
      <c r="D268" t="s">
        <v>16</v>
      </c>
      <c r="E268" t="s">
        <v>58</v>
      </c>
      <c r="J268" s="4" t="b">
        <v>1</v>
      </c>
    </row>
    <row r="269" spans="1:10" x14ac:dyDescent="0.2">
      <c r="A269">
        <v>35</v>
      </c>
      <c r="C269">
        <v>263</v>
      </c>
      <c r="D269" t="s">
        <v>21</v>
      </c>
      <c r="F269" t="s">
        <v>99</v>
      </c>
      <c r="G269" t="s">
        <v>58</v>
      </c>
      <c r="J269" s="4" t="b">
        <v>1</v>
      </c>
    </row>
    <row r="270" spans="1:10" x14ac:dyDescent="0.2">
      <c r="A270">
        <v>35</v>
      </c>
      <c r="C270">
        <v>264</v>
      </c>
      <c r="D270" t="s">
        <v>67</v>
      </c>
      <c r="F270" t="s">
        <v>30</v>
      </c>
      <c r="G270" t="s">
        <v>58</v>
      </c>
      <c r="J270" s="4" t="b">
        <v>1</v>
      </c>
    </row>
    <row r="271" spans="1:10" x14ac:dyDescent="0.2">
      <c r="A271">
        <v>35</v>
      </c>
      <c r="C271">
        <v>265</v>
      </c>
      <c r="D271" t="s">
        <v>21</v>
      </c>
      <c r="F271" t="s">
        <v>99</v>
      </c>
      <c r="G271" t="s">
        <v>58</v>
      </c>
      <c r="J271" s="4" t="b">
        <v>1</v>
      </c>
    </row>
    <row r="272" spans="1:10" x14ac:dyDescent="0.2">
      <c r="A272">
        <v>36</v>
      </c>
      <c r="C272">
        <v>266</v>
      </c>
      <c r="D272" t="s">
        <v>67</v>
      </c>
      <c r="F272" t="s">
        <v>31</v>
      </c>
      <c r="G272" t="s">
        <v>58</v>
      </c>
      <c r="J272" s="4" t="b">
        <v>1</v>
      </c>
    </row>
    <row r="273" spans="1:10" x14ac:dyDescent="0.2">
      <c r="A273">
        <v>36</v>
      </c>
      <c r="C273">
        <v>267</v>
      </c>
      <c r="D273" t="s">
        <v>21</v>
      </c>
      <c r="F273" t="s">
        <v>100</v>
      </c>
      <c r="G273" t="s">
        <v>58</v>
      </c>
      <c r="J273" s="4" t="b">
        <v>1</v>
      </c>
    </row>
    <row r="274" spans="1:10" x14ac:dyDescent="0.2">
      <c r="A274">
        <v>36</v>
      </c>
      <c r="C274">
        <v>267</v>
      </c>
      <c r="D274" t="s">
        <v>21</v>
      </c>
      <c r="F274" t="s">
        <v>101</v>
      </c>
      <c r="J274" s="4" t="b">
        <v>1</v>
      </c>
    </row>
    <row r="275" spans="1:10" x14ac:dyDescent="0.2">
      <c r="A275">
        <v>36</v>
      </c>
      <c r="C275">
        <v>268</v>
      </c>
      <c r="D275" t="s">
        <v>21</v>
      </c>
      <c r="F275" t="s">
        <v>32</v>
      </c>
      <c r="G275" t="s">
        <v>58</v>
      </c>
      <c r="J275" s="4" t="b">
        <v>1</v>
      </c>
    </row>
    <row r="276" spans="1:10" x14ac:dyDescent="0.2">
      <c r="A276">
        <v>36</v>
      </c>
      <c r="C276">
        <v>269</v>
      </c>
      <c r="D276" t="s">
        <v>21</v>
      </c>
      <c r="F276" t="s">
        <v>33</v>
      </c>
      <c r="G276" t="s">
        <v>58</v>
      </c>
      <c r="J276" s="4" t="b">
        <v>1</v>
      </c>
    </row>
    <row r="277" spans="1:10" x14ac:dyDescent="0.2">
      <c r="A277">
        <v>36</v>
      </c>
      <c r="C277">
        <v>270</v>
      </c>
      <c r="D277" t="s">
        <v>18</v>
      </c>
      <c r="J277" s="4" t="b">
        <v>1</v>
      </c>
    </row>
    <row r="278" spans="1:10" x14ac:dyDescent="0.2">
      <c r="A278">
        <v>37</v>
      </c>
      <c r="C278">
        <v>271</v>
      </c>
      <c r="D278" t="s">
        <v>21</v>
      </c>
      <c r="F278" t="s">
        <v>102</v>
      </c>
      <c r="J278" s="4" t="b">
        <v>1</v>
      </c>
    </row>
    <row r="279" spans="1:10" x14ac:dyDescent="0.2">
      <c r="A279">
        <v>37</v>
      </c>
      <c r="C279">
        <v>272</v>
      </c>
      <c r="D279" t="s">
        <v>21</v>
      </c>
      <c r="F279" t="s">
        <v>103</v>
      </c>
      <c r="G279" t="s">
        <v>58</v>
      </c>
      <c r="J279" s="4" t="b">
        <v>1</v>
      </c>
    </row>
    <row r="280" spans="1:10" x14ac:dyDescent="0.2">
      <c r="A280">
        <v>37</v>
      </c>
      <c r="C280">
        <v>273</v>
      </c>
      <c r="D280" t="s">
        <v>21</v>
      </c>
      <c r="F280" t="s">
        <v>104</v>
      </c>
      <c r="G280" t="s">
        <v>58</v>
      </c>
      <c r="J280" s="4" t="b">
        <v>1</v>
      </c>
    </row>
    <row r="281" spans="1:10" x14ac:dyDescent="0.2">
      <c r="A281">
        <v>37</v>
      </c>
      <c r="C281">
        <v>274</v>
      </c>
      <c r="D281" t="s">
        <v>21</v>
      </c>
      <c r="F281" t="s">
        <v>105</v>
      </c>
      <c r="G281" t="s">
        <v>58</v>
      </c>
      <c r="J281" s="4" t="b">
        <v>1</v>
      </c>
    </row>
    <row r="282" spans="1:10" x14ac:dyDescent="0.2">
      <c r="A282">
        <v>37</v>
      </c>
      <c r="C282">
        <v>275</v>
      </c>
      <c r="D282" t="s">
        <v>18</v>
      </c>
      <c r="J282" s="4" t="b">
        <v>1</v>
      </c>
    </row>
    <row r="283" spans="1:10" x14ac:dyDescent="0.2">
      <c r="A283">
        <v>37</v>
      </c>
      <c r="C283">
        <v>276</v>
      </c>
      <c r="D283" t="s">
        <v>16</v>
      </c>
      <c r="J283" s="4" t="b">
        <v>1</v>
      </c>
    </row>
    <row r="284" spans="1:10" x14ac:dyDescent="0.2">
      <c r="A284">
        <v>38</v>
      </c>
      <c r="C284">
        <v>277</v>
      </c>
      <c r="D284" t="s">
        <v>21</v>
      </c>
      <c r="J284" s="4" t="b">
        <v>1</v>
      </c>
    </row>
    <row r="285" spans="1:10" x14ac:dyDescent="0.2">
      <c r="A285">
        <v>38</v>
      </c>
      <c r="C285">
        <v>278</v>
      </c>
      <c r="D285" t="s">
        <v>16</v>
      </c>
      <c r="J285" s="4" t="b">
        <v>1</v>
      </c>
    </row>
    <row r="286" spans="1:10" x14ac:dyDescent="0.2">
      <c r="A286">
        <v>38</v>
      </c>
      <c r="C286">
        <v>279</v>
      </c>
      <c r="D286" t="s">
        <v>16</v>
      </c>
      <c r="J286" s="4" t="b">
        <v>1</v>
      </c>
    </row>
    <row r="287" spans="1:10" x14ac:dyDescent="0.2">
      <c r="A287">
        <v>38</v>
      </c>
      <c r="C287">
        <v>280</v>
      </c>
      <c r="D287" t="s">
        <v>16</v>
      </c>
      <c r="J287" s="4" t="b">
        <v>1</v>
      </c>
    </row>
    <row r="288" spans="1:10" x14ac:dyDescent="0.2">
      <c r="A288">
        <v>38</v>
      </c>
      <c r="C288">
        <v>281</v>
      </c>
      <c r="D288" t="s">
        <v>16</v>
      </c>
      <c r="J288" s="4" t="b">
        <v>1</v>
      </c>
    </row>
    <row r="289" spans="1:10" x14ac:dyDescent="0.2">
      <c r="A289">
        <v>38</v>
      </c>
      <c r="C289">
        <v>282</v>
      </c>
      <c r="D289" t="s">
        <v>21</v>
      </c>
      <c r="F289" t="s">
        <v>91</v>
      </c>
      <c r="G289" t="s">
        <v>58</v>
      </c>
      <c r="J289" s="4" t="b">
        <v>1</v>
      </c>
    </row>
    <row r="290" spans="1:10" x14ac:dyDescent="0.2">
      <c r="A290">
        <v>39</v>
      </c>
      <c r="C290">
        <v>283</v>
      </c>
      <c r="D290" t="s">
        <v>18</v>
      </c>
      <c r="J290" s="4" t="b">
        <v>1</v>
      </c>
    </row>
    <row r="291" spans="1:10" x14ac:dyDescent="0.2">
      <c r="A291">
        <v>39</v>
      </c>
      <c r="C291">
        <v>284</v>
      </c>
      <c r="D291" t="s">
        <v>20</v>
      </c>
      <c r="J291" s="4" t="b">
        <v>1</v>
      </c>
    </row>
    <row r="292" spans="1:10" x14ac:dyDescent="0.2">
      <c r="A292">
        <v>39</v>
      </c>
      <c r="C292">
        <v>285</v>
      </c>
      <c r="D292" t="s">
        <v>18</v>
      </c>
      <c r="J292" s="4" t="b">
        <v>1</v>
      </c>
    </row>
    <row r="293" spans="1:10" x14ac:dyDescent="0.2">
      <c r="A293">
        <v>39</v>
      </c>
      <c r="C293">
        <v>286</v>
      </c>
      <c r="D293" t="s">
        <v>5</v>
      </c>
      <c r="J293" s="4" t="b">
        <v>1</v>
      </c>
    </row>
    <row r="294" spans="1:10" x14ac:dyDescent="0.2">
      <c r="A294">
        <v>39</v>
      </c>
      <c r="C294">
        <v>287</v>
      </c>
      <c r="D294" t="s">
        <v>5</v>
      </c>
      <c r="J294" s="4" t="b">
        <v>1</v>
      </c>
    </row>
    <row r="295" spans="1:10" x14ac:dyDescent="0.2">
      <c r="A295">
        <v>39</v>
      </c>
      <c r="C295">
        <v>288</v>
      </c>
      <c r="D295" t="s">
        <v>5</v>
      </c>
      <c r="J295" s="4" t="b">
        <v>1</v>
      </c>
    </row>
    <row r="296" spans="1:10" x14ac:dyDescent="0.2">
      <c r="A296">
        <v>39</v>
      </c>
      <c r="C296">
        <v>289</v>
      </c>
      <c r="D296" t="s">
        <v>5</v>
      </c>
      <c r="J296" s="4" t="b">
        <v>1</v>
      </c>
    </row>
    <row r="297" spans="1:10" x14ac:dyDescent="0.2">
      <c r="A297">
        <v>39</v>
      </c>
      <c r="C297">
        <v>290</v>
      </c>
      <c r="D297" t="s">
        <v>5</v>
      </c>
      <c r="J297" s="4" t="b">
        <v>1</v>
      </c>
    </row>
    <row r="298" spans="1:10" x14ac:dyDescent="0.2">
      <c r="A298">
        <v>39</v>
      </c>
      <c r="C298">
        <v>291</v>
      </c>
      <c r="D298" t="s">
        <v>5</v>
      </c>
      <c r="J298" s="4" t="b">
        <v>1</v>
      </c>
    </row>
    <row r="299" spans="1:10" x14ac:dyDescent="0.2">
      <c r="A299">
        <v>40</v>
      </c>
      <c r="C299">
        <v>292</v>
      </c>
      <c r="D299" t="s">
        <v>5</v>
      </c>
      <c r="J299" s="4" t="b">
        <v>1</v>
      </c>
    </row>
    <row r="300" spans="1:10" x14ac:dyDescent="0.2">
      <c r="A300">
        <v>40</v>
      </c>
      <c r="C300">
        <v>293</v>
      </c>
      <c r="D300" t="s">
        <v>5</v>
      </c>
      <c r="J300" s="4" t="b">
        <v>1</v>
      </c>
    </row>
    <row r="301" spans="1:10" x14ac:dyDescent="0.2">
      <c r="A301">
        <v>40</v>
      </c>
      <c r="C301">
        <v>294</v>
      </c>
      <c r="D301" t="s">
        <v>16</v>
      </c>
      <c r="E301" t="s">
        <v>58</v>
      </c>
      <c r="J301" s="4" t="b">
        <v>1</v>
      </c>
    </row>
    <row r="302" spans="1:10" x14ac:dyDescent="0.2">
      <c r="A302">
        <v>40</v>
      </c>
      <c r="C302">
        <v>295</v>
      </c>
      <c r="D302" t="s">
        <v>18</v>
      </c>
      <c r="J302" s="4" t="b">
        <v>1</v>
      </c>
    </row>
    <row r="303" spans="1:10" x14ac:dyDescent="0.2">
      <c r="A303">
        <v>40</v>
      </c>
      <c r="C303">
        <v>296</v>
      </c>
      <c r="D303" t="s">
        <v>18</v>
      </c>
      <c r="J303" s="4" t="b">
        <v>1</v>
      </c>
    </row>
    <row r="304" spans="1:10" x14ac:dyDescent="0.2">
      <c r="A304">
        <v>40</v>
      </c>
      <c r="C304">
        <v>297</v>
      </c>
      <c r="D304" t="s">
        <v>16</v>
      </c>
      <c r="E304" t="s">
        <v>58</v>
      </c>
      <c r="J304" s="4" t="b">
        <v>1</v>
      </c>
    </row>
    <row r="305" spans="1:10" x14ac:dyDescent="0.2">
      <c r="A305">
        <v>41</v>
      </c>
      <c r="C305">
        <v>298</v>
      </c>
      <c r="D305" t="s">
        <v>21</v>
      </c>
      <c r="J305" s="4" t="b">
        <v>1</v>
      </c>
    </row>
    <row r="306" spans="1:10" x14ac:dyDescent="0.2">
      <c r="A306">
        <v>41</v>
      </c>
      <c r="C306">
        <v>299</v>
      </c>
      <c r="D306" t="s">
        <v>34</v>
      </c>
      <c r="F306" t="s">
        <v>35</v>
      </c>
      <c r="J306" s="4" t="b">
        <v>1</v>
      </c>
    </row>
    <row r="307" spans="1:10" x14ac:dyDescent="0.2">
      <c r="A307">
        <v>41</v>
      </c>
      <c r="C307">
        <v>300</v>
      </c>
      <c r="D307" t="s">
        <v>16</v>
      </c>
      <c r="J307" s="4" t="b">
        <v>1</v>
      </c>
    </row>
    <row r="308" spans="1:10" x14ac:dyDescent="0.2">
      <c r="A308">
        <v>41</v>
      </c>
      <c r="C308">
        <v>301</v>
      </c>
      <c r="D308" t="s">
        <v>36</v>
      </c>
      <c r="J308" s="4" t="b">
        <v>1</v>
      </c>
    </row>
    <row r="309" spans="1:10" x14ac:dyDescent="0.2">
      <c r="A309">
        <v>41</v>
      </c>
      <c r="C309">
        <v>302</v>
      </c>
      <c r="D309" t="s">
        <v>16</v>
      </c>
      <c r="J309" s="4" t="b">
        <v>1</v>
      </c>
    </row>
    <row r="310" spans="1:10" x14ac:dyDescent="0.2">
      <c r="A310">
        <v>41</v>
      </c>
      <c r="C310">
        <v>303</v>
      </c>
      <c r="D310" t="s">
        <v>16</v>
      </c>
      <c r="J310" s="4" t="b">
        <v>1</v>
      </c>
    </row>
    <row r="311" spans="1:10" x14ac:dyDescent="0.2">
      <c r="A311">
        <v>42</v>
      </c>
      <c r="C311">
        <v>304</v>
      </c>
      <c r="D311" t="s">
        <v>21</v>
      </c>
      <c r="J311" s="4" t="b">
        <v>1</v>
      </c>
    </row>
    <row r="312" spans="1:10" x14ac:dyDescent="0.2">
      <c r="A312">
        <v>42</v>
      </c>
      <c r="C312">
        <v>305</v>
      </c>
      <c r="D312" t="s">
        <v>21</v>
      </c>
      <c r="J312" s="4" t="b">
        <v>1</v>
      </c>
    </row>
    <row r="313" spans="1:10" x14ac:dyDescent="0.2">
      <c r="A313">
        <v>42</v>
      </c>
      <c r="C313">
        <v>306</v>
      </c>
      <c r="D313" t="s">
        <v>21</v>
      </c>
      <c r="J313" s="4" t="b">
        <v>1</v>
      </c>
    </row>
    <row r="314" spans="1:10" x14ac:dyDescent="0.2">
      <c r="A314">
        <v>42</v>
      </c>
      <c r="C314">
        <v>307</v>
      </c>
      <c r="D314" t="s">
        <v>21</v>
      </c>
      <c r="J314" s="4" t="b">
        <v>1</v>
      </c>
    </row>
    <row r="315" spans="1:10" x14ac:dyDescent="0.2">
      <c r="A315">
        <v>42</v>
      </c>
      <c r="C315">
        <v>308</v>
      </c>
      <c r="D315" t="s">
        <v>21</v>
      </c>
      <c r="J315" s="4" t="b">
        <v>1</v>
      </c>
    </row>
    <row r="316" spans="1:10" x14ac:dyDescent="0.2">
      <c r="A316">
        <v>42</v>
      </c>
      <c r="C316">
        <v>309</v>
      </c>
      <c r="D316" t="s">
        <v>21</v>
      </c>
      <c r="J316" s="4" t="b">
        <v>1</v>
      </c>
    </row>
    <row r="317" spans="1:10" x14ac:dyDescent="0.2">
      <c r="A317">
        <v>42</v>
      </c>
      <c r="C317">
        <v>310</v>
      </c>
      <c r="D317" t="s">
        <v>21</v>
      </c>
      <c r="J317" s="4" t="b">
        <v>1</v>
      </c>
    </row>
    <row r="318" spans="1:10" x14ac:dyDescent="0.2">
      <c r="A318">
        <v>42</v>
      </c>
      <c r="C318">
        <v>311</v>
      </c>
      <c r="D318" t="s">
        <v>21</v>
      </c>
      <c r="J318" s="4" t="b">
        <v>1</v>
      </c>
    </row>
    <row r="319" spans="1:10" x14ac:dyDescent="0.2">
      <c r="A319">
        <v>42</v>
      </c>
      <c r="C319">
        <v>312</v>
      </c>
      <c r="D319" t="s">
        <v>21</v>
      </c>
      <c r="J319" s="4" t="b">
        <v>1</v>
      </c>
    </row>
    <row r="320" spans="1:10" x14ac:dyDescent="0.2">
      <c r="A320">
        <v>42</v>
      </c>
      <c r="C320">
        <v>313</v>
      </c>
      <c r="D320" t="s">
        <v>21</v>
      </c>
      <c r="J320" s="4" t="b">
        <v>1</v>
      </c>
    </row>
    <row r="321" spans="1:10" x14ac:dyDescent="0.2">
      <c r="A321">
        <v>43</v>
      </c>
      <c r="C321">
        <v>314</v>
      </c>
      <c r="D321" t="s">
        <v>21</v>
      </c>
      <c r="J321" s="4" t="b">
        <v>1</v>
      </c>
    </row>
    <row r="322" spans="1:10" x14ac:dyDescent="0.2">
      <c r="A322">
        <v>43</v>
      </c>
      <c r="C322">
        <v>315</v>
      </c>
      <c r="D322" t="s">
        <v>21</v>
      </c>
      <c r="J322" s="4" t="b">
        <v>1</v>
      </c>
    </row>
    <row r="323" spans="1:10" x14ac:dyDescent="0.2">
      <c r="A323">
        <v>43</v>
      </c>
      <c r="C323">
        <v>316</v>
      </c>
      <c r="D323" t="s">
        <v>21</v>
      </c>
      <c r="J323" s="4" t="b">
        <v>1</v>
      </c>
    </row>
    <row r="324" spans="1:10" x14ac:dyDescent="0.2">
      <c r="A324">
        <v>43</v>
      </c>
      <c r="C324">
        <v>317</v>
      </c>
      <c r="D324" t="s">
        <v>21</v>
      </c>
      <c r="J324" s="4" t="b">
        <v>1</v>
      </c>
    </row>
    <row r="325" spans="1:10" x14ac:dyDescent="0.2">
      <c r="A325">
        <v>43</v>
      </c>
      <c r="C325">
        <v>318</v>
      </c>
      <c r="D325" t="s">
        <v>21</v>
      </c>
      <c r="J325" s="4" t="b">
        <v>1</v>
      </c>
    </row>
    <row r="326" spans="1:10" x14ac:dyDescent="0.2">
      <c r="A326">
        <v>43</v>
      </c>
      <c r="C326">
        <v>319</v>
      </c>
      <c r="D326" t="s">
        <v>21</v>
      </c>
      <c r="J326" s="4" t="b">
        <v>1</v>
      </c>
    </row>
    <row r="327" spans="1:10" x14ac:dyDescent="0.2">
      <c r="A327">
        <v>43</v>
      </c>
      <c r="C327">
        <v>320</v>
      </c>
      <c r="D327" t="s">
        <v>21</v>
      </c>
      <c r="J327" s="4" t="b">
        <v>1</v>
      </c>
    </row>
    <row r="328" spans="1:10" x14ac:dyDescent="0.2">
      <c r="A328">
        <v>43</v>
      </c>
      <c r="C328">
        <v>321</v>
      </c>
      <c r="D328" t="s">
        <v>21</v>
      </c>
      <c r="J328" s="4" t="b">
        <v>1</v>
      </c>
    </row>
    <row r="329" spans="1:10" x14ac:dyDescent="0.2">
      <c r="A329">
        <v>43</v>
      </c>
      <c r="C329">
        <v>322</v>
      </c>
      <c r="D329" t="s">
        <v>21</v>
      </c>
      <c r="J329" s="4" t="b">
        <v>1</v>
      </c>
    </row>
    <row r="330" spans="1:10" x14ac:dyDescent="0.2">
      <c r="A330">
        <v>43</v>
      </c>
      <c r="C330">
        <v>323</v>
      </c>
      <c r="D330" t="s">
        <v>21</v>
      </c>
      <c r="J330" s="4" t="b">
        <v>1</v>
      </c>
    </row>
    <row r="331" spans="1:10" x14ac:dyDescent="0.2">
      <c r="A331">
        <v>44</v>
      </c>
      <c r="C331">
        <v>324</v>
      </c>
      <c r="D331" t="s">
        <v>21</v>
      </c>
      <c r="J331" s="4" t="b">
        <v>1</v>
      </c>
    </row>
    <row r="332" spans="1:10" x14ac:dyDescent="0.2">
      <c r="A332">
        <v>44</v>
      </c>
      <c r="C332">
        <v>325</v>
      </c>
      <c r="D332" t="s">
        <v>21</v>
      </c>
      <c r="J332" s="4" t="b">
        <v>1</v>
      </c>
    </row>
    <row r="333" spans="1:10" x14ac:dyDescent="0.2">
      <c r="A333">
        <v>44</v>
      </c>
      <c r="C333">
        <v>326</v>
      </c>
      <c r="D333" t="s">
        <v>21</v>
      </c>
      <c r="J333" s="4" t="b">
        <v>1</v>
      </c>
    </row>
    <row r="334" spans="1:10" x14ac:dyDescent="0.2">
      <c r="A334">
        <v>44</v>
      </c>
      <c r="C334">
        <v>327</v>
      </c>
      <c r="D334" t="s">
        <v>21</v>
      </c>
      <c r="J334" s="4" t="b">
        <v>1</v>
      </c>
    </row>
    <row r="335" spans="1:10" x14ac:dyDescent="0.2">
      <c r="A335">
        <v>44</v>
      </c>
      <c r="C335">
        <v>328</v>
      </c>
      <c r="D335" t="s">
        <v>21</v>
      </c>
      <c r="J335" s="4" t="b">
        <v>1</v>
      </c>
    </row>
    <row r="336" spans="1:10" x14ac:dyDescent="0.2">
      <c r="A336">
        <v>44</v>
      </c>
      <c r="C336">
        <v>329</v>
      </c>
      <c r="D336" t="s">
        <v>21</v>
      </c>
      <c r="J336" s="4" t="b">
        <v>1</v>
      </c>
    </row>
    <row r="337" spans="1:10" x14ac:dyDescent="0.2">
      <c r="A337">
        <v>44</v>
      </c>
      <c r="C337">
        <v>330</v>
      </c>
      <c r="D337" t="s">
        <v>21</v>
      </c>
      <c r="J337" s="4" t="b">
        <v>1</v>
      </c>
    </row>
    <row r="338" spans="1:10" x14ac:dyDescent="0.2">
      <c r="A338">
        <v>44</v>
      </c>
      <c r="C338">
        <v>331</v>
      </c>
      <c r="D338" t="s">
        <v>21</v>
      </c>
      <c r="J338" s="4" t="b">
        <v>1</v>
      </c>
    </row>
    <row r="339" spans="1:10" x14ac:dyDescent="0.2">
      <c r="A339">
        <v>44</v>
      </c>
      <c r="C339">
        <v>332</v>
      </c>
      <c r="D339" t="s">
        <v>21</v>
      </c>
      <c r="J339" s="4" t="b">
        <v>1</v>
      </c>
    </row>
    <row r="340" spans="1:10" x14ac:dyDescent="0.2">
      <c r="A340">
        <v>44</v>
      </c>
      <c r="C340">
        <v>333</v>
      </c>
      <c r="D340" t="s">
        <v>21</v>
      </c>
      <c r="J340" s="4" t="b">
        <v>1</v>
      </c>
    </row>
    <row r="341" spans="1:10" x14ac:dyDescent="0.2">
      <c r="A341">
        <v>45</v>
      </c>
      <c r="C341">
        <v>334</v>
      </c>
      <c r="D341" t="s">
        <v>21</v>
      </c>
      <c r="J341" s="4" t="b">
        <v>1</v>
      </c>
    </row>
    <row r="342" spans="1:10" x14ac:dyDescent="0.2">
      <c r="A342">
        <v>45</v>
      </c>
      <c r="C342">
        <v>335</v>
      </c>
      <c r="D342" t="s">
        <v>21</v>
      </c>
      <c r="J342" s="4" t="b">
        <v>1</v>
      </c>
    </row>
    <row r="343" spans="1:10" x14ac:dyDescent="0.2">
      <c r="A343">
        <v>45</v>
      </c>
      <c r="C343">
        <v>336</v>
      </c>
      <c r="D343" t="s">
        <v>21</v>
      </c>
      <c r="J343" s="4" t="b">
        <v>1</v>
      </c>
    </row>
    <row r="344" spans="1:10" x14ac:dyDescent="0.2">
      <c r="A344">
        <v>45</v>
      </c>
      <c r="C344">
        <v>337</v>
      </c>
      <c r="D344" t="s">
        <v>21</v>
      </c>
      <c r="J344" s="4" t="b">
        <v>1</v>
      </c>
    </row>
    <row r="345" spans="1:10" x14ac:dyDescent="0.2">
      <c r="A345">
        <v>45</v>
      </c>
      <c r="C345">
        <v>338</v>
      </c>
      <c r="D345" t="s">
        <v>21</v>
      </c>
      <c r="J345" s="4" t="b">
        <v>1</v>
      </c>
    </row>
    <row r="346" spans="1:10" x14ac:dyDescent="0.2">
      <c r="A346">
        <v>45</v>
      </c>
      <c r="C346">
        <v>339</v>
      </c>
      <c r="D346" t="s">
        <v>21</v>
      </c>
      <c r="J346" s="4" t="b">
        <v>1</v>
      </c>
    </row>
    <row r="347" spans="1:10" x14ac:dyDescent="0.2">
      <c r="A347">
        <v>45</v>
      </c>
      <c r="C347">
        <v>340</v>
      </c>
      <c r="D347" t="s">
        <v>21</v>
      </c>
      <c r="J347" s="4" t="b">
        <v>1</v>
      </c>
    </row>
    <row r="348" spans="1:10" x14ac:dyDescent="0.2">
      <c r="A348">
        <v>45</v>
      </c>
      <c r="C348">
        <v>341</v>
      </c>
      <c r="D348" t="s">
        <v>21</v>
      </c>
      <c r="J348" s="4" t="b">
        <v>1</v>
      </c>
    </row>
    <row r="349" spans="1:10" x14ac:dyDescent="0.2">
      <c r="A349">
        <v>45</v>
      </c>
      <c r="C349">
        <v>342</v>
      </c>
      <c r="D349" t="s">
        <v>21</v>
      </c>
      <c r="J349" s="4" t="b">
        <v>1</v>
      </c>
    </row>
    <row r="350" spans="1:10" x14ac:dyDescent="0.2">
      <c r="A350">
        <v>45</v>
      </c>
      <c r="C350">
        <v>343</v>
      </c>
      <c r="D350" t="s">
        <v>21</v>
      </c>
      <c r="J350" s="4" t="b">
        <v>1</v>
      </c>
    </row>
    <row r="351" spans="1:10" x14ac:dyDescent="0.2">
      <c r="A351">
        <v>46</v>
      </c>
      <c r="C351">
        <v>344</v>
      </c>
      <c r="D351" t="s">
        <v>21</v>
      </c>
      <c r="J351" s="4" t="b">
        <v>1</v>
      </c>
    </row>
    <row r="352" spans="1:10" x14ac:dyDescent="0.2">
      <c r="A352">
        <v>46</v>
      </c>
      <c r="C352">
        <v>345</v>
      </c>
      <c r="D352" t="s">
        <v>21</v>
      </c>
      <c r="J352" s="4" t="b">
        <v>1</v>
      </c>
    </row>
    <row r="353" spans="1:10" x14ac:dyDescent="0.2">
      <c r="A353">
        <v>46</v>
      </c>
      <c r="C353">
        <v>346</v>
      </c>
      <c r="D353" t="s">
        <v>21</v>
      </c>
      <c r="J353" s="4" t="b">
        <v>1</v>
      </c>
    </row>
    <row r="354" spans="1:10" x14ac:dyDescent="0.2">
      <c r="A354">
        <v>46</v>
      </c>
      <c r="C354">
        <v>347</v>
      </c>
      <c r="D354" t="s">
        <v>21</v>
      </c>
      <c r="J354" s="4" t="b">
        <v>1</v>
      </c>
    </row>
    <row r="355" spans="1:10" x14ac:dyDescent="0.2">
      <c r="A355">
        <v>46</v>
      </c>
      <c r="C355">
        <v>348</v>
      </c>
      <c r="D355" t="s">
        <v>21</v>
      </c>
      <c r="J355" s="4" t="b">
        <v>1</v>
      </c>
    </row>
    <row r="356" spans="1:10" x14ac:dyDescent="0.2">
      <c r="A356">
        <v>46</v>
      </c>
      <c r="C356">
        <v>349</v>
      </c>
      <c r="D356" t="s">
        <v>21</v>
      </c>
      <c r="J356" s="4" t="b">
        <v>1</v>
      </c>
    </row>
    <row r="357" spans="1:10" x14ac:dyDescent="0.2">
      <c r="A357">
        <v>46</v>
      </c>
      <c r="C357">
        <v>350</v>
      </c>
      <c r="D357" t="s">
        <v>21</v>
      </c>
      <c r="J357" s="4" t="b">
        <v>1</v>
      </c>
    </row>
    <row r="358" spans="1:10" x14ac:dyDescent="0.2">
      <c r="A358">
        <v>46</v>
      </c>
      <c r="C358">
        <v>351</v>
      </c>
      <c r="D358" t="s">
        <v>21</v>
      </c>
      <c r="J358" s="4" t="b">
        <v>1</v>
      </c>
    </row>
    <row r="359" spans="1:10" x14ac:dyDescent="0.2">
      <c r="A359">
        <v>46</v>
      </c>
      <c r="C359">
        <v>352</v>
      </c>
      <c r="D359" t="s">
        <v>21</v>
      </c>
      <c r="J359" s="4" t="b">
        <v>1</v>
      </c>
    </row>
    <row r="360" spans="1:10" x14ac:dyDescent="0.2">
      <c r="A360">
        <v>46</v>
      </c>
      <c r="C360">
        <v>353</v>
      </c>
      <c r="D360" t="s">
        <v>21</v>
      </c>
      <c r="J360" s="4" t="b">
        <v>1</v>
      </c>
    </row>
    <row r="361" spans="1:10" x14ac:dyDescent="0.2">
      <c r="A361">
        <v>47</v>
      </c>
      <c r="C361">
        <v>354</v>
      </c>
      <c r="D361" t="s">
        <v>21</v>
      </c>
      <c r="J361" s="4" t="b">
        <v>1</v>
      </c>
    </row>
    <row r="362" spans="1:10" x14ac:dyDescent="0.2">
      <c r="A362">
        <v>47</v>
      </c>
      <c r="C362">
        <v>355</v>
      </c>
      <c r="D362" t="s">
        <v>21</v>
      </c>
      <c r="J362" s="4" t="b">
        <v>1</v>
      </c>
    </row>
    <row r="363" spans="1:10" x14ac:dyDescent="0.2">
      <c r="A363">
        <v>47</v>
      </c>
      <c r="C363">
        <v>356</v>
      </c>
      <c r="D363" t="s">
        <v>21</v>
      </c>
      <c r="J363" s="4" t="b">
        <v>1</v>
      </c>
    </row>
    <row r="364" spans="1:10" x14ac:dyDescent="0.2">
      <c r="A364">
        <v>47</v>
      </c>
      <c r="C364">
        <v>357</v>
      </c>
      <c r="D364" t="s">
        <v>21</v>
      </c>
      <c r="J364" s="4" t="b">
        <v>1</v>
      </c>
    </row>
    <row r="365" spans="1:10" x14ac:dyDescent="0.2">
      <c r="A365">
        <v>47</v>
      </c>
      <c r="C365">
        <v>358</v>
      </c>
      <c r="D365" t="s">
        <v>21</v>
      </c>
      <c r="J365" s="4" t="b">
        <v>1</v>
      </c>
    </row>
    <row r="366" spans="1:10" x14ac:dyDescent="0.2">
      <c r="A366">
        <v>47</v>
      </c>
      <c r="C366">
        <v>359</v>
      </c>
      <c r="D366" t="s">
        <v>21</v>
      </c>
      <c r="J366" s="4" t="b">
        <v>1</v>
      </c>
    </row>
    <row r="367" spans="1:10" x14ac:dyDescent="0.2">
      <c r="A367">
        <v>47</v>
      </c>
      <c r="C367">
        <v>360</v>
      </c>
      <c r="D367" t="s">
        <v>21</v>
      </c>
      <c r="J367" s="4" t="b">
        <v>1</v>
      </c>
    </row>
    <row r="368" spans="1:10" x14ac:dyDescent="0.2">
      <c r="A368">
        <v>47</v>
      </c>
      <c r="C368">
        <v>361</v>
      </c>
      <c r="D368" t="s">
        <v>21</v>
      </c>
      <c r="J368" s="4" t="b">
        <v>1</v>
      </c>
    </row>
    <row r="369" spans="1:10" x14ac:dyDescent="0.2">
      <c r="A369">
        <v>47</v>
      </c>
      <c r="C369">
        <v>362</v>
      </c>
      <c r="D369" t="s">
        <v>21</v>
      </c>
      <c r="J369" s="4" t="b">
        <v>1</v>
      </c>
    </row>
    <row r="370" spans="1:10" x14ac:dyDescent="0.2">
      <c r="A370">
        <v>47</v>
      </c>
      <c r="C370">
        <v>363</v>
      </c>
      <c r="D370" t="s">
        <v>21</v>
      </c>
      <c r="J370" s="4" t="b">
        <v>1</v>
      </c>
    </row>
    <row r="371" spans="1:10" x14ac:dyDescent="0.2">
      <c r="A371">
        <v>48</v>
      </c>
      <c r="C371">
        <v>364</v>
      </c>
      <c r="D371" t="s">
        <v>20</v>
      </c>
      <c r="J371" s="4" t="b">
        <v>1</v>
      </c>
    </row>
    <row r="372" spans="1:10" x14ac:dyDescent="0.2">
      <c r="A372">
        <v>48</v>
      </c>
      <c r="C372">
        <v>365</v>
      </c>
      <c r="D372" t="s">
        <v>18</v>
      </c>
      <c r="J372" s="4" t="b">
        <v>1</v>
      </c>
    </row>
    <row r="373" spans="1:10" x14ac:dyDescent="0.2">
      <c r="A373">
        <v>48</v>
      </c>
      <c r="C373">
        <v>366</v>
      </c>
      <c r="D373" t="s">
        <v>20</v>
      </c>
      <c r="J373" s="4" t="b">
        <v>1</v>
      </c>
    </row>
    <row r="374" spans="1:10" x14ac:dyDescent="0.2">
      <c r="A374">
        <v>48</v>
      </c>
      <c r="C374">
        <v>367</v>
      </c>
      <c r="D374" t="s">
        <v>66</v>
      </c>
      <c r="J374" s="4" t="b">
        <v>1</v>
      </c>
    </row>
    <row r="375" spans="1:10" x14ac:dyDescent="0.2">
      <c r="A375">
        <v>48</v>
      </c>
      <c r="C375">
        <v>368</v>
      </c>
      <c r="D375" t="s">
        <v>16</v>
      </c>
      <c r="E375" t="s">
        <v>58</v>
      </c>
      <c r="J375" s="4" t="b">
        <v>1</v>
      </c>
    </row>
    <row r="376" spans="1:10" x14ac:dyDescent="0.2">
      <c r="A376">
        <v>49</v>
      </c>
      <c r="C376">
        <v>369</v>
      </c>
      <c r="D376" t="s">
        <v>21</v>
      </c>
      <c r="J376" s="4" t="b">
        <v>1</v>
      </c>
    </row>
    <row r="377" spans="1:10" x14ac:dyDescent="0.2">
      <c r="A377">
        <v>49</v>
      </c>
      <c r="C377">
        <v>370</v>
      </c>
      <c r="D377" t="s">
        <v>21</v>
      </c>
      <c r="F377" t="s">
        <v>106</v>
      </c>
      <c r="G377" t="s">
        <v>58</v>
      </c>
      <c r="J377" s="4" t="b">
        <v>1</v>
      </c>
    </row>
    <row r="378" spans="1:10" x14ac:dyDescent="0.2">
      <c r="A378">
        <v>49</v>
      </c>
      <c r="C378">
        <v>371</v>
      </c>
      <c r="D378" t="s">
        <v>18</v>
      </c>
      <c r="J378" s="4" t="b">
        <v>1</v>
      </c>
    </row>
    <row r="379" spans="1:10" x14ac:dyDescent="0.2">
      <c r="A379">
        <v>49</v>
      </c>
      <c r="C379">
        <v>372</v>
      </c>
      <c r="D379" t="s">
        <v>21</v>
      </c>
      <c r="F379" t="s">
        <v>37</v>
      </c>
      <c r="J379" s="4" t="b">
        <v>1</v>
      </c>
    </row>
    <row r="380" spans="1:10" x14ac:dyDescent="0.2">
      <c r="A380">
        <v>49</v>
      </c>
      <c r="C380">
        <v>373</v>
      </c>
      <c r="D380" t="s">
        <v>18</v>
      </c>
      <c r="J380" s="4" t="b">
        <v>1</v>
      </c>
    </row>
    <row r="381" spans="1:10" x14ac:dyDescent="0.2">
      <c r="A381">
        <v>49</v>
      </c>
      <c r="C381">
        <v>374</v>
      </c>
      <c r="D381" t="s">
        <v>18</v>
      </c>
      <c r="J381" s="4" t="b">
        <v>1</v>
      </c>
    </row>
    <row r="382" spans="1:10" x14ac:dyDescent="0.2">
      <c r="A382">
        <v>49</v>
      </c>
      <c r="C382">
        <v>375</v>
      </c>
      <c r="D382" t="s">
        <v>18</v>
      </c>
      <c r="J382" s="4" t="b">
        <v>1</v>
      </c>
    </row>
    <row r="383" spans="1:10" x14ac:dyDescent="0.2">
      <c r="A383">
        <v>50</v>
      </c>
      <c r="C383">
        <v>376</v>
      </c>
      <c r="D383" t="s">
        <v>18</v>
      </c>
      <c r="J383" s="4" t="b">
        <v>1</v>
      </c>
    </row>
    <row r="384" spans="1:10" x14ac:dyDescent="0.2">
      <c r="A384">
        <v>50</v>
      </c>
      <c r="C384">
        <v>377</v>
      </c>
      <c r="D384" t="s">
        <v>18</v>
      </c>
      <c r="J384" s="4" t="b">
        <v>1</v>
      </c>
    </row>
    <row r="385" spans="1:10" x14ac:dyDescent="0.2">
      <c r="A385">
        <v>50</v>
      </c>
      <c r="C385">
        <v>378</v>
      </c>
      <c r="D385" t="s">
        <v>18</v>
      </c>
      <c r="J385" s="4" t="b">
        <v>1</v>
      </c>
    </row>
    <row r="386" spans="1:10" x14ac:dyDescent="0.2">
      <c r="A386">
        <v>50</v>
      </c>
      <c r="C386">
        <v>379</v>
      </c>
      <c r="D386" t="s">
        <v>16</v>
      </c>
      <c r="J386" s="4" t="b">
        <v>1</v>
      </c>
    </row>
    <row r="387" spans="1:10" x14ac:dyDescent="0.2">
      <c r="A387">
        <v>50</v>
      </c>
      <c r="C387">
        <v>380</v>
      </c>
      <c r="D387" t="s">
        <v>16</v>
      </c>
      <c r="J387" s="4" t="b">
        <v>1</v>
      </c>
    </row>
    <row r="388" spans="1:10" x14ac:dyDescent="0.2">
      <c r="A388">
        <v>50</v>
      </c>
      <c r="C388">
        <v>381</v>
      </c>
      <c r="D388" t="s">
        <v>16</v>
      </c>
      <c r="J388" s="4" t="b">
        <v>1</v>
      </c>
    </row>
    <row r="389" spans="1:10" x14ac:dyDescent="0.2">
      <c r="A389">
        <v>51</v>
      </c>
      <c r="C389">
        <v>382</v>
      </c>
      <c r="D389" t="s">
        <v>16</v>
      </c>
      <c r="E389" t="s">
        <v>58</v>
      </c>
      <c r="J389" s="4" t="b">
        <v>1</v>
      </c>
    </row>
    <row r="390" spans="1:10" x14ac:dyDescent="0.2">
      <c r="A390">
        <v>51</v>
      </c>
      <c r="C390">
        <v>383</v>
      </c>
      <c r="D390" t="s">
        <v>18</v>
      </c>
      <c r="J390" s="4" t="b">
        <v>1</v>
      </c>
    </row>
    <row r="391" spans="1:10" x14ac:dyDescent="0.2">
      <c r="A391">
        <v>51</v>
      </c>
      <c r="C391">
        <v>384</v>
      </c>
      <c r="D391" t="s">
        <v>18</v>
      </c>
      <c r="J391" s="4" t="b">
        <v>1</v>
      </c>
    </row>
    <row r="392" spans="1:10" x14ac:dyDescent="0.2">
      <c r="A392">
        <v>51</v>
      </c>
      <c r="C392">
        <v>385</v>
      </c>
      <c r="D392" t="s">
        <v>16</v>
      </c>
      <c r="J392" s="4" t="b">
        <v>1</v>
      </c>
    </row>
    <row r="393" spans="1:10" x14ac:dyDescent="0.2">
      <c r="A393">
        <v>51</v>
      </c>
      <c r="C393">
        <v>386</v>
      </c>
      <c r="D393" t="s">
        <v>16</v>
      </c>
      <c r="J393" s="4" t="b">
        <v>1</v>
      </c>
    </row>
    <row r="394" spans="1:10" x14ac:dyDescent="0.2">
      <c r="A394">
        <v>52</v>
      </c>
      <c r="C394">
        <v>387</v>
      </c>
      <c r="D394" t="s">
        <v>60</v>
      </c>
      <c r="F394" t="s">
        <v>38</v>
      </c>
      <c r="J394" s="4" t="b">
        <v>1</v>
      </c>
    </row>
    <row r="395" spans="1:10" x14ac:dyDescent="0.2">
      <c r="A395">
        <v>52</v>
      </c>
      <c r="C395">
        <v>388</v>
      </c>
      <c r="D395" t="s">
        <v>23</v>
      </c>
      <c r="F395" t="s">
        <v>39</v>
      </c>
      <c r="J395" s="4" t="b">
        <v>1</v>
      </c>
    </row>
    <row r="396" spans="1:10" x14ac:dyDescent="0.2">
      <c r="A396">
        <v>52</v>
      </c>
      <c r="C396">
        <v>389</v>
      </c>
      <c r="D396" t="s">
        <v>20</v>
      </c>
      <c r="J396" s="4" t="b">
        <v>1</v>
      </c>
    </row>
    <row r="397" spans="1:10" x14ac:dyDescent="0.2">
      <c r="A397">
        <v>52</v>
      </c>
      <c r="C397">
        <v>390</v>
      </c>
      <c r="D397" t="s">
        <v>36</v>
      </c>
      <c r="F397" t="s">
        <v>107</v>
      </c>
      <c r="J397" s="4" t="b">
        <v>1</v>
      </c>
    </row>
    <row r="398" spans="1:10" x14ac:dyDescent="0.2">
      <c r="A398">
        <v>52</v>
      </c>
      <c r="C398">
        <v>390</v>
      </c>
      <c r="D398" t="s">
        <v>18</v>
      </c>
      <c r="F398" t="s">
        <v>107</v>
      </c>
      <c r="J398" s="4" t="b">
        <v>1</v>
      </c>
    </row>
    <row r="399" spans="1:10" x14ac:dyDescent="0.2">
      <c r="A399">
        <v>52</v>
      </c>
      <c r="C399">
        <v>391</v>
      </c>
      <c r="D399" t="s">
        <v>18</v>
      </c>
      <c r="J399" s="4" t="b">
        <v>1</v>
      </c>
    </row>
    <row r="400" spans="1:10" x14ac:dyDescent="0.2">
      <c r="A400">
        <v>52</v>
      </c>
      <c r="C400">
        <v>392</v>
      </c>
      <c r="D400" t="s">
        <v>21</v>
      </c>
      <c r="J400" s="4" t="b">
        <v>1</v>
      </c>
    </row>
    <row r="401" spans="1:10" x14ac:dyDescent="0.2">
      <c r="A401">
        <v>53</v>
      </c>
      <c r="C401">
        <v>393</v>
      </c>
      <c r="D401" t="s">
        <v>21</v>
      </c>
      <c r="F401" t="s">
        <v>37</v>
      </c>
      <c r="J401" s="4" t="b">
        <v>1</v>
      </c>
    </row>
    <row r="402" spans="1:10" x14ac:dyDescent="0.2">
      <c r="A402">
        <v>53</v>
      </c>
      <c r="C402">
        <v>394</v>
      </c>
      <c r="D402" t="s">
        <v>21</v>
      </c>
      <c r="J402" s="4" t="b">
        <v>1</v>
      </c>
    </row>
    <row r="403" spans="1:10" x14ac:dyDescent="0.2">
      <c r="A403">
        <v>53</v>
      </c>
      <c r="C403">
        <v>395</v>
      </c>
      <c r="D403" t="s">
        <v>21</v>
      </c>
      <c r="J403" s="4" t="b">
        <v>1</v>
      </c>
    </row>
    <row r="404" spans="1:10" x14ac:dyDescent="0.2">
      <c r="A404">
        <v>53</v>
      </c>
      <c r="C404">
        <v>396</v>
      </c>
      <c r="D404" t="s">
        <v>21</v>
      </c>
      <c r="J404" s="4" t="b">
        <v>1</v>
      </c>
    </row>
    <row r="405" spans="1:10" x14ac:dyDescent="0.2">
      <c r="A405">
        <v>53</v>
      </c>
      <c r="C405">
        <v>397</v>
      </c>
      <c r="D405" t="s">
        <v>21</v>
      </c>
      <c r="J405" s="4" t="b">
        <v>1</v>
      </c>
    </row>
    <row r="406" spans="1:10" x14ac:dyDescent="0.2">
      <c r="A406">
        <v>53</v>
      </c>
      <c r="C406">
        <v>398</v>
      </c>
      <c r="D406" t="s">
        <v>16</v>
      </c>
      <c r="J406" s="4" t="b">
        <v>1</v>
      </c>
    </row>
    <row r="407" spans="1:10" x14ac:dyDescent="0.2">
      <c r="A407">
        <v>53</v>
      </c>
      <c r="C407">
        <v>399</v>
      </c>
      <c r="D407" t="s">
        <v>20</v>
      </c>
      <c r="J407" s="4" t="b">
        <v>1</v>
      </c>
    </row>
    <row r="408" spans="1:10" x14ac:dyDescent="0.2">
      <c r="A408">
        <v>53</v>
      </c>
      <c r="C408">
        <v>400</v>
      </c>
      <c r="D408" t="s">
        <v>5</v>
      </c>
      <c r="J408" s="4" t="b">
        <v>1</v>
      </c>
    </row>
    <row r="409" spans="1:10" x14ac:dyDescent="0.2">
      <c r="A409">
        <v>53</v>
      </c>
      <c r="C409">
        <v>401</v>
      </c>
      <c r="D409" t="s">
        <v>5</v>
      </c>
      <c r="J409" s="4" t="b">
        <v>1</v>
      </c>
    </row>
    <row r="410" spans="1:10" x14ac:dyDescent="0.2">
      <c r="A410">
        <v>53</v>
      </c>
      <c r="C410">
        <v>402</v>
      </c>
      <c r="D410" t="s">
        <v>16</v>
      </c>
      <c r="J410" s="4" t="b">
        <v>1</v>
      </c>
    </row>
    <row r="411" spans="1:10" x14ac:dyDescent="0.2">
      <c r="A411">
        <v>54</v>
      </c>
      <c r="C411">
        <v>403</v>
      </c>
      <c r="D411" t="s">
        <v>16</v>
      </c>
      <c r="E411" t="s">
        <v>58</v>
      </c>
      <c r="F411" t="s">
        <v>54</v>
      </c>
      <c r="J411" s="4" t="b">
        <v>1</v>
      </c>
    </row>
    <row r="412" spans="1:10" x14ac:dyDescent="0.2">
      <c r="A412">
        <v>54</v>
      </c>
      <c r="C412">
        <v>404</v>
      </c>
      <c r="D412" t="s">
        <v>21</v>
      </c>
      <c r="J412" s="4" t="b">
        <v>1</v>
      </c>
    </row>
    <row r="413" spans="1:10" x14ac:dyDescent="0.2">
      <c r="A413">
        <v>54</v>
      </c>
      <c r="C413">
        <v>405</v>
      </c>
      <c r="D413" t="s">
        <v>21</v>
      </c>
      <c r="J413" s="4" t="b">
        <v>1</v>
      </c>
    </row>
    <row r="414" spans="1:10" x14ac:dyDescent="0.2">
      <c r="A414">
        <v>54</v>
      </c>
      <c r="C414">
        <v>406</v>
      </c>
      <c r="D414" t="s">
        <v>16</v>
      </c>
      <c r="J414" s="4" t="b">
        <v>1</v>
      </c>
    </row>
    <row r="415" spans="1:10" x14ac:dyDescent="0.2">
      <c r="A415">
        <v>54</v>
      </c>
      <c r="C415">
        <v>407</v>
      </c>
      <c r="D415" t="s">
        <v>70</v>
      </c>
      <c r="F415" t="s">
        <v>62</v>
      </c>
      <c r="J415" s="4" t="b">
        <v>0</v>
      </c>
    </row>
    <row r="416" spans="1:10" x14ac:dyDescent="0.2">
      <c r="A416">
        <v>54</v>
      </c>
      <c r="C416">
        <v>408</v>
      </c>
      <c r="D416" t="s">
        <v>66</v>
      </c>
      <c r="J416" s="4" t="b">
        <v>1</v>
      </c>
    </row>
    <row r="417" spans="1:10" x14ac:dyDescent="0.2">
      <c r="A417">
        <v>54</v>
      </c>
      <c r="C417">
        <v>409</v>
      </c>
      <c r="D417" t="s">
        <v>21</v>
      </c>
      <c r="J417" s="4" t="b">
        <v>1</v>
      </c>
    </row>
    <row r="418" spans="1:10" x14ac:dyDescent="0.2">
      <c r="A418">
        <v>55</v>
      </c>
      <c r="C418">
        <v>410</v>
      </c>
      <c r="D418" t="s">
        <v>16</v>
      </c>
      <c r="E418" t="s">
        <v>58</v>
      </c>
      <c r="J418" s="4" t="b">
        <v>1</v>
      </c>
    </row>
    <row r="419" spans="1:10" x14ac:dyDescent="0.2">
      <c r="A419">
        <v>55</v>
      </c>
      <c r="C419">
        <v>411</v>
      </c>
      <c r="D419" t="s">
        <v>16</v>
      </c>
      <c r="E419" t="s">
        <v>58</v>
      </c>
      <c r="J419" s="4" t="b">
        <v>1</v>
      </c>
    </row>
    <row r="420" spans="1:10" x14ac:dyDescent="0.2">
      <c r="A420">
        <v>55</v>
      </c>
      <c r="C420">
        <v>412</v>
      </c>
      <c r="D420" t="s">
        <v>16</v>
      </c>
      <c r="E420" t="s">
        <v>58</v>
      </c>
      <c r="J420" s="4" t="b">
        <v>1</v>
      </c>
    </row>
    <row r="421" spans="1:10" x14ac:dyDescent="0.2">
      <c r="A421">
        <v>55</v>
      </c>
      <c r="C421">
        <v>413</v>
      </c>
      <c r="D421" t="s">
        <v>16</v>
      </c>
      <c r="J421" s="4" t="b">
        <v>1</v>
      </c>
    </row>
    <row r="422" spans="1:10" x14ac:dyDescent="0.2">
      <c r="A422">
        <v>55</v>
      </c>
      <c r="C422">
        <v>414</v>
      </c>
      <c r="D422" t="s">
        <v>16</v>
      </c>
      <c r="J422" s="4" t="b">
        <v>1</v>
      </c>
    </row>
    <row r="423" spans="1:10" x14ac:dyDescent="0.2">
      <c r="A423">
        <v>55</v>
      </c>
      <c r="C423">
        <v>415</v>
      </c>
      <c r="D423" t="s">
        <v>5</v>
      </c>
      <c r="J423" s="4" t="b">
        <v>1</v>
      </c>
    </row>
    <row r="424" spans="1:10" x14ac:dyDescent="0.2">
      <c r="A424">
        <v>55</v>
      </c>
      <c r="C424">
        <v>416</v>
      </c>
      <c r="D424" t="s">
        <v>16</v>
      </c>
      <c r="J424" s="4" t="b">
        <v>1</v>
      </c>
    </row>
    <row r="425" spans="1:10" x14ac:dyDescent="0.2">
      <c r="A425">
        <v>56</v>
      </c>
      <c r="C425">
        <v>417</v>
      </c>
      <c r="D425" t="s">
        <v>21</v>
      </c>
      <c r="J425" s="4" t="b">
        <v>1</v>
      </c>
    </row>
    <row r="426" spans="1:10" x14ac:dyDescent="0.2">
      <c r="A426">
        <v>56</v>
      </c>
      <c r="C426">
        <v>418</v>
      </c>
      <c r="D426" t="s">
        <v>16</v>
      </c>
      <c r="E426" t="s">
        <v>58</v>
      </c>
      <c r="J426" s="4" t="b">
        <v>1</v>
      </c>
    </row>
    <row r="427" spans="1:10" x14ac:dyDescent="0.2">
      <c r="A427">
        <v>56</v>
      </c>
      <c r="C427">
        <v>419</v>
      </c>
      <c r="D427" t="s">
        <v>20</v>
      </c>
      <c r="J427" s="4" t="b">
        <v>1</v>
      </c>
    </row>
    <row r="428" spans="1:10" x14ac:dyDescent="0.2">
      <c r="A428">
        <v>56</v>
      </c>
      <c r="C428">
        <v>420</v>
      </c>
      <c r="D428" t="s">
        <v>18</v>
      </c>
      <c r="J428" s="4" t="b">
        <v>1</v>
      </c>
    </row>
    <row r="429" spans="1:10" x14ac:dyDescent="0.2">
      <c r="A429">
        <v>56</v>
      </c>
      <c r="C429">
        <v>421</v>
      </c>
      <c r="D429" t="s">
        <v>21</v>
      </c>
      <c r="F429" t="s">
        <v>108</v>
      </c>
      <c r="G429" t="s">
        <v>58</v>
      </c>
      <c r="J429" s="4" t="b">
        <v>1</v>
      </c>
    </row>
    <row r="430" spans="1:10" x14ac:dyDescent="0.2">
      <c r="A430">
        <v>56</v>
      </c>
      <c r="C430">
        <v>422</v>
      </c>
      <c r="D430" t="s">
        <v>21</v>
      </c>
      <c r="J430" s="4" t="b">
        <v>1</v>
      </c>
    </row>
    <row r="431" spans="1:10" x14ac:dyDescent="0.2">
      <c r="A431">
        <v>56</v>
      </c>
      <c r="C431">
        <v>423</v>
      </c>
      <c r="D431" t="s">
        <v>20</v>
      </c>
      <c r="J431" s="4" t="b">
        <v>1</v>
      </c>
    </row>
    <row r="432" spans="1:10" x14ac:dyDescent="0.2">
      <c r="A432">
        <v>56</v>
      </c>
      <c r="C432">
        <v>424</v>
      </c>
      <c r="D432" t="s">
        <v>66</v>
      </c>
      <c r="J432" s="4" t="b">
        <v>1</v>
      </c>
    </row>
    <row r="433" spans="1:10" x14ac:dyDescent="0.2">
      <c r="A433">
        <v>56</v>
      </c>
      <c r="C433">
        <v>425</v>
      </c>
      <c r="D433" t="s">
        <v>21</v>
      </c>
      <c r="J433" s="4" t="b">
        <v>1</v>
      </c>
    </row>
    <row r="434" spans="1:10" x14ac:dyDescent="0.2">
      <c r="A434">
        <v>56</v>
      </c>
      <c r="C434">
        <v>426</v>
      </c>
      <c r="D434" t="s">
        <v>18</v>
      </c>
      <c r="J434" s="4" t="b">
        <v>1</v>
      </c>
    </row>
    <row r="435" spans="1:10" x14ac:dyDescent="0.2">
      <c r="A435">
        <v>56</v>
      </c>
      <c r="C435">
        <v>427</v>
      </c>
      <c r="D435" t="s">
        <v>18</v>
      </c>
      <c r="J435" s="4" t="b">
        <v>1</v>
      </c>
    </row>
    <row r="436" spans="1:10" x14ac:dyDescent="0.2">
      <c r="A436">
        <v>56</v>
      </c>
      <c r="C436">
        <v>428</v>
      </c>
      <c r="D436" t="s">
        <v>69</v>
      </c>
      <c r="F436" t="s">
        <v>40</v>
      </c>
      <c r="J436" s="4" t="b">
        <v>1</v>
      </c>
    </row>
    <row r="437" spans="1:10" x14ac:dyDescent="0.2">
      <c r="A437">
        <v>56</v>
      </c>
      <c r="C437">
        <v>428</v>
      </c>
      <c r="D437" t="s">
        <v>69</v>
      </c>
      <c r="F437" t="s">
        <v>40</v>
      </c>
      <c r="J437" s="4" t="b">
        <v>1</v>
      </c>
    </row>
    <row r="438" spans="1:10" x14ac:dyDescent="0.2">
      <c r="A438">
        <v>56</v>
      </c>
      <c r="C438">
        <v>428</v>
      </c>
      <c r="D438" t="s">
        <v>69</v>
      </c>
      <c r="F438" t="s">
        <v>40</v>
      </c>
      <c r="J438" s="4" t="b">
        <v>1</v>
      </c>
    </row>
    <row r="439" spans="1:10" x14ac:dyDescent="0.2">
      <c r="A439">
        <v>56</v>
      </c>
      <c r="C439">
        <v>429</v>
      </c>
      <c r="D439" t="s">
        <v>21</v>
      </c>
      <c r="J439" s="4" t="b">
        <v>1</v>
      </c>
    </row>
    <row r="440" spans="1:10" x14ac:dyDescent="0.2">
      <c r="A440">
        <v>56</v>
      </c>
      <c r="C440">
        <v>430</v>
      </c>
      <c r="D440" t="s">
        <v>18</v>
      </c>
      <c r="J440" s="4" t="b">
        <v>1</v>
      </c>
    </row>
    <row r="441" spans="1:10" x14ac:dyDescent="0.2">
      <c r="A441">
        <v>56</v>
      </c>
      <c r="C441">
        <v>431</v>
      </c>
      <c r="D441" t="s">
        <v>21</v>
      </c>
      <c r="J441" s="4" t="b">
        <v>1</v>
      </c>
    </row>
    <row r="442" spans="1:10" x14ac:dyDescent="0.2">
      <c r="A442">
        <v>56</v>
      </c>
      <c r="C442">
        <v>432</v>
      </c>
      <c r="D442" t="s">
        <v>16</v>
      </c>
      <c r="J442" s="4" t="b">
        <v>1</v>
      </c>
    </row>
    <row r="443" spans="1:10" x14ac:dyDescent="0.2">
      <c r="A443">
        <v>56</v>
      </c>
      <c r="C443">
        <v>433</v>
      </c>
      <c r="D443" t="s">
        <v>16</v>
      </c>
      <c r="J443" s="4" t="b">
        <v>1</v>
      </c>
    </row>
    <row r="444" spans="1:10" x14ac:dyDescent="0.2">
      <c r="A444">
        <v>57</v>
      </c>
      <c r="C444">
        <v>434</v>
      </c>
      <c r="D444" t="s">
        <v>18</v>
      </c>
      <c r="F444" t="s">
        <v>41</v>
      </c>
      <c r="J444" s="4" t="b">
        <v>1</v>
      </c>
    </row>
    <row r="445" spans="1:10" x14ac:dyDescent="0.2">
      <c r="A445">
        <v>57</v>
      </c>
      <c r="C445">
        <v>435</v>
      </c>
      <c r="D445" t="s">
        <v>60</v>
      </c>
      <c r="J445" s="4" t="b">
        <v>1</v>
      </c>
    </row>
    <row r="446" spans="1:10" x14ac:dyDescent="0.2">
      <c r="A446">
        <v>57</v>
      </c>
      <c r="C446">
        <v>436</v>
      </c>
      <c r="D446" t="s">
        <v>21</v>
      </c>
      <c r="J446" s="4" t="b">
        <v>1</v>
      </c>
    </row>
    <row r="447" spans="1:10" x14ac:dyDescent="0.2">
      <c r="A447">
        <v>57</v>
      </c>
      <c r="C447">
        <v>437</v>
      </c>
      <c r="D447" t="s">
        <v>5</v>
      </c>
      <c r="J447" s="4" t="b">
        <v>1</v>
      </c>
    </row>
    <row r="448" spans="1:10" x14ac:dyDescent="0.2">
      <c r="A448">
        <v>57</v>
      </c>
      <c r="C448">
        <v>438</v>
      </c>
      <c r="D448" t="s">
        <v>16</v>
      </c>
      <c r="E448" t="s">
        <v>58</v>
      </c>
      <c r="J448" s="4" t="b">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9FFE-8BF1-084F-AA99-4852B9EBDBC3}">
  <dimension ref="A3:B7"/>
  <sheetViews>
    <sheetView workbookViewId="0">
      <selection activeCell="B5" sqref="B5"/>
    </sheetView>
  </sheetViews>
  <sheetFormatPr baseColWidth="10" defaultRowHeight="15" x14ac:dyDescent="0.2"/>
  <cols>
    <col min="1" max="1" width="12.1640625" bestFit="1" customWidth="1"/>
    <col min="2" max="2" width="14" bestFit="1" customWidth="1"/>
    <col min="3" max="3" width="5" bestFit="1" customWidth="1"/>
    <col min="4" max="4" width="6.33203125" bestFit="1" customWidth="1"/>
    <col min="5" max="5" width="10" bestFit="1" customWidth="1"/>
  </cols>
  <sheetData>
    <row r="3" spans="1:2" x14ac:dyDescent="0.2">
      <c r="A3" s="1" t="s">
        <v>50</v>
      </c>
      <c r="B3" t="s">
        <v>82</v>
      </c>
    </row>
    <row r="4" spans="1:2" x14ac:dyDescent="0.2">
      <c r="A4" s="2" t="s">
        <v>80</v>
      </c>
      <c r="B4">
        <v>1</v>
      </c>
    </row>
    <row r="5" spans="1:2" x14ac:dyDescent="0.2">
      <c r="A5" s="2" t="s">
        <v>81</v>
      </c>
      <c r="B5">
        <v>446</v>
      </c>
    </row>
    <row r="6" spans="1:2" x14ac:dyDescent="0.2">
      <c r="A6" s="2" t="s">
        <v>63</v>
      </c>
    </row>
    <row r="7" spans="1:2" x14ac:dyDescent="0.2">
      <c r="A7" s="2" t="s">
        <v>51</v>
      </c>
      <c r="B7">
        <v>447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7AC3C-2943-BA43-92D6-A44BE55E25C3}">
  <dimension ref="A3:C29"/>
  <sheetViews>
    <sheetView workbookViewId="0">
      <selection activeCell="C14" sqref="C14"/>
    </sheetView>
  </sheetViews>
  <sheetFormatPr baseColWidth="10" defaultRowHeight="15" x14ac:dyDescent="0.2"/>
  <cols>
    <col min="1" max="1" width="21.6640625" bestFit="1" customWidth="1"/>
    <col min="2" max="2" width="14.6640625" bestFit="1" customWidth="1"/>
    <col min="3" max="3" width="15.1640625" bestFit="1" customWidth="1"/>
  </cols>
  <sheetData>
    <row r="3" spans="1:3" x14ac:dyDescent="0.2">
      <c r="A3" s="1" t="s">
        <v>50</v>
      </c>
      <c r="B3" t="s">
        <v>52</v>
      </c>
      <c r="C3" t="s">
        <v>64</v>
      </c>
    </row>
    <row r="4" spans="1:3" x14ac:dyDescent="0.2">
      <c r="A4" s="2" t="s">
        <v>70</v>
      </c>
      <c r="B4">
        <v>1</v>
      </c>
    </row>
    <row r="5" spans="1:3" x14ac:dyDescent="0.2">
      <c r="A5" s="2" t="s">
        <v>5</v>
      </c>
      <c r="B5">
        <v>19</v>
      </c>
    </row>
    <row r="6" spans="1:3" x14ac:dyDescent="0.2">
      <c r="A6" s="2" t="s">
        <v>69</v>
      </c>
      <c r="B6">
        <v>3</v>
      </c>
    </row>
    <row r="7" spans="1:3" x14ac:dyDescent="0.2">
      <c r="A7" s="2" t="s">
        <v>12</v>
      </c>
      <c r="B7">
        <v>1</v>
      </c>
    </row>
    <row r="8" spans="1:3" x14ac:dyDescent="0.2">
      <c r="A8" s="2" t="s">
        <v>25</v>
      </c>
      <c r="B8">
        <v>2</v>
      </c>
    </row>
    <row r="9" spans="1:3" x14ac:dyDescent="0.2">
      <c r="A9" s="2" t="s">
        <v>66</v>
      </c>
      <c r="B9">
        <v>5</v>
      </c>
    </row>
    <row r="10" spans="1:3" x14ac:dyDescent="0.2">
      <c r="A10" s="2" t="s">
        <v>22</v>
      </c>
      <c r="B10">
        <v>3</v>
      </c>
    </row>
    <row r="11" spans="1:3" x14ac:dyDescent="0.2">
      <c r="A11" s="2" t="s">
        <v>34</v>
      </c>
      <c r="B11">
        <v>1</v>
      </c>
    </row>
    <row r="12" spans="1:3" x14ac:dyDescent="0.2">
      <c r="A12" s="2" t="s">
        <v>11</v>
      </c>
      <c r="B12">
        <v>7</v>
      </c>
    </row>
    <row r="13" spans="1:3" x14ac:dyDescent="0.2">
      <c r="A13" s="2" t="s">
        <v>17</v>
      </c>
      <c r="B13">
        <v>1</v>
      </c>
    </row>
    <row r="14" spans="1:3" x14ac:dyDescent="0.2">
      <c r="A14" s="2" t="s">
        <v>18</v>
      </c>
      <c r="B14">
        <v>159</v>
      </c>
    </row>
    <row r="15" spans="1:3" x14ac:dyDescent="0.2">
      <c r="A15" s="2" t="s">
        <v>19</v>
      </c>
      <c r="B15">
        <v>3</v>
      </c>
    </row>
    <row r="16" spans="1:3" x14ac:dyDescent="0.2">
      <c r="A16" s="2" t="s">
        <v>65</v>
      </c>
      <c r="B16">
        <v>1</v>
      </c>
    </row>
    <row r="17" spans="1:3" x14ac:dyDescent="0.2">
      <c r="A17" s="2" t="s">
        <v>20</v>
      </c>
      <c r="B17">
        <v>20</v>
      </c>
    </row>
    <row r="18" spans="1:3" x14ac:dyDescent="0.2">
      <c r="A18" s="2" t="s">
        <v>23</v>
      </c>
      <c r="B18">
        <v>13</v>
      </c>
    </row>
    <row r="19" spans="1:3" x14ac:dyDescent="0.2">
      <c r="A19" s="2" t="s">
        <v>60</v>
      </c>
      <c r="B19">
        <v>4</v>
      </c>
    </row>
    <row r="20" spans="1:3" x14ac:dyDescent="0.2">
      <c r="A20" s="2" t="s">
        <v>68</v>
      </c>
      <c r="B20">
        <v>1</v>
      </c>
    </row>
    <row r="21" spans="1:3" x14ac:dyDescent="0.2">
      <c r="A21" s="2" t="s">
        <v>16</v>
      </c>
      <c r="B21">
        <v>75</v>
      </c>
      <c r="C21">
        <v>23</v>
      </c>
    </row>
    <row r="22" spans="1:3" x14ac:dyDescent="0.2">
      <c r="A22" s="2" t="s">
        <v>21</v>
      </c>
      <c r="B22">
        <v>108</v>
      </c>
    </row>
    <row r="23" spans="1:3" x14ac:dyDescent="0.2">
      <c r="A23" s="2" t="s">
        <v>26</v>
      </c>
      <c r="B23">
        <v>2</v>
      </c>
    </row>
    <row r="24" spans="1:3" x14ac:dyDescent="0.2">
      <c r="A24" s="2" t="s">
        <v>13</v>
      </c>
      <c r="B24">
        <v>11</v>
      </c>
    </row>
    <row r="25" spans="1:3" x14ac:dyDescent="0.2">
      <c r="A25" s="2" t="s">
        <v>67</v>
      </c>
      <c r="B25">
        <v>4</v>
      </c>
    </row>
    <row r="26" spans="1:3" x14ac:dyDescent="0.2">
      <c r="A26" s="2" t="s">
        <v>36</v>
      </c>
      <c r="B26">
        <v>2</v>
      </c>
    </row>
    <row r="27" spans="1:3" x14ac:dyDescent="0.2">
      <c r="A27" s="2" t="s">
        <v>61</v>
      </c>
      <c r="B27">
        <v>1</v>
      </c>
    </row>
    <row r="28" spans="1:3" x14ac:dyDescent="0.2">
      <c r="A28" s="2" t="s">
        <v>63</v>
      </c>
    </row>
    <row r="29" spans="1:3" x14ac:dyDescent="0.2">
      <c r="A29" s="2" t="s">
        <v>51</v>
      </c>
      <c r="B29">
        <v>447</v>
      </c>
      <c r="C29">
        <v>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678D3-243E-C243-826B-F5208DC680EF}">
  <dimension ref="A2:C4"/>
  <sheetViews>
    <sheetView workbookViewId="0">
      <selection activeCell="B3" sqref="B3"/>
    </sheetView>
  </sheetViews>
  <sheetFormatPr baseColWidth="10" defaultRowHeight="15" x14ac:dyDescent="0.2"/>
  <cols>
    <col min="1" max="1" width="18" customWidth="1"/>
    <col min="2" max="2" width="9.83203125" customWidth="1"/>
    <col min="3" max="3" width="10.83203125" style="3"/>
  </cols>
  <sheetData>
    <row r="2" spans="1:2" x14ac:dyDescent="0.2">
      <c r="A2" t="s">
        <v>71</v>
      </c>
      <c r="B2" s="3" t="s">
        <v>55</v>
      </c>
    </row>
    <row r="3" spans="1:2" x14ac:dyDescent="0.2">
      <c r="A3" t="s">
        <v>72</v>
      </c>
      <c r="B3" s="3">
        <f>GETPIVOTDATA("Count of Medium",'Medium counts'!$A$3,"Medium","oil painting")-GETPIVOTDATA("Count of Oil Copy?",'Medium counts'!$A$3,"Medium","oil painting")</f>
        <v>52</v>
      </c>
    </row>
    <row r="4" spans="1:2" x14ac:dyDescent="0.2">
      <c r="A4" t="s">
        <v>73</v>
      </c>
      <c r="B4" s="3">
        <f>GETPIVOTDATA("Count of Oil Copy?",'Medium counts'!$A$3,"Medium","oil painting")</f>
        <v>23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84615-396C-4C47-9C9E-FF8948335C64}">
  <dimension ref="A3:B6"/>
  <sheetViews>
    <sheetView workbookViewId="0">
      <selection activeCell="B4" sqref="B4"/>
    </sheetView>
  </sheetViews>
  <sheetFormatPr baseColWidth="10" defaultRowHeight="15" x14ac:dyDescent="0.2"/>
  <cols>
    <col min="1" max="1" width="12.1640625" bestFit="1" customWidth="1"/>
    <col min="2" max="2" width="49.6640625" bestFit="1" customWidth="1"/>
  </cols>
  <sheetData>
    <row r="3" spans="1:2" x14ac:dyDescent="0.2">
      <c r="A3" s="1" t="s">
        <v>50</v>
      </c>
      <c r="B3" t="s">
        <v>76</v>
      </c>
    </row>
    <row r="4" spans="1:2" x14ac:dyDescent="0.2">
      <c r="A4" s="2" t="s">
        <v>58</v>
      </c>
      <c r="B4">
        <v>44</v>
      </c>
    </row>
    <row r="5" spans="1:2" x14ac:dyDescent="0.2">
      <c r="A5" s="2" t="s">
        <v>63</v>
      </c>
    </row>
    <row r="6" spans="1:2" x14ac:dyDescent="0.2">
      <c r="A6" s="2" t="s">
        <v>51</v>
      </c>
      <c r="B6">
        <v>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960E7-D93B-6B45-BCD2-847683FA2AFC}">
  <dimension ref="A3:B6"/>
  <sheetViews>
    <sheetView workbookViewId="0">
      <selection activeCell="B5" sqref="B5"/>
    </sheetView>
  </sheetViews>
  <sheetFormatPr baseColWidth="10" defaultRowHeight="15" x14ac:dyDescent="0.2"/>
  <cols>
    <col min="1" max="1" width="12.1640625" bestFit="1" customWidth="1"/>
    <col min="2" max="2" width="19.5" bestFit="1" customWidth="1"/>
  </cols>
  <sheetData>
    <row r="3" spans="1:2" x14ac:dyDescent="0.2">
      <c r="A3" s="1" t="s">
        <v>50</v>
      </c>
      <c r="B3" t="s">
        <v>110</v>
      </c>
    </row>
    <row r="4" spans="1:2" x14ac:dyDescent="0.2">
      <c r="A4" s="2" t="s">
        <v>58</v>
      </c>
      <c r="B4">
        <v>1</v>
      </c>
    </row>
    <row r="5" spans="1:2" x14ac:dyDescent="0.2">
      <c r="A5" s="2" t="s">
        <v>63</v>
      </c>
    </row>
    <row r="6" spans="1:2" x14ac:dyDescent="0.2">
      <c r="A6" s="2" t="s">
        <v>51</v>
      </c>
      <c r="B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480D-2657-5448-8383-FD8CE46B6B11}">
  <dimension ref="A2:B5"/>
  <sheetViews>
    <sheetView workbookViewId="0">
      <selection activeCell="M32" sqref="M32"/>
    </sheetView>
  </sheetViews>
  <sheetFormatPr baseColWidth="10" defaultRowHeight="15" x14ac:dyDescent="0.2"/>
  <cols>
    <col min="1" max="1" width="42.1640625" bestFit="1" customWidth="1"/>
  </cols>
  <sheetData>
    <row r="2" spans="1:2" x14ac:dyDescent="0.2">
      <c r="A2" t="s">
        <v>75</v>
      </c>
      <c r="B2" t="s">
        <v>55</v>
      </c>
    </row>
    <row r="3" spans="1:2" x14ac:dyDescent="0.2">
      <c r="A3" t="s">
        <v>77</v>
      </c>
      <c r="B3">
        <f>GETPIVOTDATA("Count of Oil Copy?",'Medium counts'!$A$3,"Medium","oil painting")</f>
        <v>23</v>
      </c>
    </row>
    <row r="4" spans="1:2" x14ac:dyDescent="0.2">
      <c r="A4" t="s">
        <v>111</v>
      </c>
      <c r="B4">
        <f>(SUM(GETPIVOTDATA("Count of Medium",'Medium counts'!$A$3,"Medium","engraving"),GETPIVOTDATA("Count of Medium",'Medium counts'!$A$3,"Medium","etching"),GETPIVOTDATA("Count of Medium",'Medium counts'!$A$3,"Medium","lithograph")))-(GETPIVOTDATA("Ad vivum print",'Ad vivum prints count'!$A$3,"Ad vivum print","yes"))</f>
        <v>181</v>
      </c>
    </row>
    <row r="5" spans="1:2" x14ac:dyDescent="0.2">
      <c r="A5" t="s">
        <v>78</v>
      </c>
      <c r="B5">
        <f>GETPIVOTDATA("Known Reproduction? Excluding oil copies and prints",'Repros count exc oils &amp; prints'!$A$3,"Known Reproduction? Excluding oil copies and prints","yes")</f>
        <v>44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429BA-A31F-774F-9CDD-F243D8348D38}">
  <dimension ref="A2:C6"/>
  <sheetViews>
    <sheetView workbookViewId="0">
      <selection activeCell="A4" sqref="A4"/>
    </sheetView>
  </sheetViews>
  <sheetFormatPr baseColWidth="10" defaultRowHeight="15" x14ac:dyDescent="0.2"/>
  <cols>
    <col min="1" max="1" width="42.1640625" bestFit="1" customWidth="1"/>
    <col min="2" max="2" width="28.33203125" bestFit="1" customWidth="1"/>
    <col min="3" max="3" width="22" bestFit="1" customWidth="1"/>
  </cols>
  <sheetData>
    <row r="2" spans="1:3" x14ac:dyDescent="0.2">
      <c r="A2" t="s">
        <v>84</v>
      </c>
      <c r="B2" t="s">
        <v>83</v>
      </c>
      <c r="C2" t="s">
        <v>55</v>
      </c>
    </row>
    <row r="3" spans="1:3" x14ac:dyDescent="0.2">
      <c r="A3" t="s">
        <v>85</v>
      </c>
      <c r="B3" t="s">
        <v>77</v>
      </c>
      <c r="C3">
        <f>GETPIVOTDATA("Count of Oil Copy?",'Medium counts'!$A$3,"Medium","oil painting")</f>
        <v>23</v>
      </c>
    </row>
    <row r="4" spans="1:3" x14ac:dyDescent="0.2">
      <c r="A4" t="s">
        <v>85</v>
      </c>
      <c r="B4" t="s">
        <v>111</v>
      </c>
      <c r="C4">
        <f>(SUM(GETPIVOTDATA("Count of Medium",'Medium counts'!$A$3,"Medium","engraving"),GETPIVOTDATA("Count of Medium",'Medium counts'!$A$3,"Medium","etching"),GETPIVOTDATA("Count of Medium",'Medium counts'!$A$3,"Medium","lithograph")))-(GETPIVOTDATA("Ad vivum print",'Ad vivum prints count'!$A$3,"Ad vivum print","yes"))</f>
        <v>181</v>
      </c>
    </row>
    <row r="5" spans="1:3" x14ac:dyDescent="0.2">
      <c r="A5" t="s">
        <v>85</v>
      </c>
      <c r="B5" t="s">
        <v>78</v>
      </c>
      <c r="C5">
        <f>GETPIVOTDATA("Known Reproduction? Excluding oil copies and prints",'Repros count exc oils &amp; prints'!$A$3,"Known Reproduction? Excluding oil copies and prints","yes")</f>
        <v>44</v>
      </c>
    </row>
    <row r="6" spans="1:3" x14ac:dyDescent="0.2">
      <c r="A6" t="s">
        <v>86</v>
      </c>
      <c r="B6" t="s">
        <v>87</v>
      </c>
      <c r="C6">
        <f>(GETPIVOTDATA("Portrait",'Portraits count'!$A$3,"Portrait",TRUE))-(SUM('Repros vs Originals count'!C3, 'Repros vs Originals count'!C4, 'Repros vs Originals count'!C5))</f>
        <v>198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About</vt:lpstr>
      <vt:lpstr>Data</vt:lpstr>
      <vt:lpstr>Portraits count</vt:lpstr>
      <vt:lpstr>Medium counts</vt:lpstr>
      <vt:lpstr>Oils count</vt:lpstr>
      <vt:lpstr>Repros count exc oils &amp; prints</vt:lpstr>
      <vt:lpstr>Ad vivum prints count</vt:lpstr>
      <vt:lpstr>Repros count</vt:lpstr>
      <vt:lpstr>Repros vs Originals 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 Bowyer</dc:creator>
  <cp:lastModifiedBy>Surya Bowyer</cp:lastModifiedBy>
  <dcterms:created xsi:type="dcterms:W3CDTF">2015-06-05T18:17:20Z</dcterms:created>
  <dcterms:modified xsi:type="dcterms:W3CDTF">2025-07-24T17:29:24Z</dcterms:modified>
</cp:coreProperties>
</file>